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OneDrive - DataSoar\Projects\On_Off_Duration\"/>
    </mc:Choice>
  </mc:AlternateContent>
  <xr:revisionPtr revIDLastSave="0" documentId="13_ncr:1_{346A6727-7A45-4E78-B66A-6E217E95C8FC}" xr6:coauthVersionLast="45" xr6:coauthVersionMax="45" xr10:uidLastSave="{00000000-0000-0000-0000-000000000000}"/>
  <bookViews>
    <workbookView xWindow="-98" yWindow="248" windowWidth="27076" windowHeight="16650" xr2:uid="{D04B359B-750E-46F7-8921-4CCFDABA373F}"/>
  </bookViews>
  <sheets>
    <sheet name="Working" sheetId="1" r:id="rId1"/>
    <sheet name="Clean Tables" sheetId="2" r:id="rId2"/>
  </sheets>
  <definedNames>
    <definedName name="_xlnm._FilterDatabase" localSheetId="0" hidden="1">Working!$A$71:$R$85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53" i="2" l="1"/>
  <c r="H51" i="2"/>
  <c r="H49" i="2"/>
  <c r="H47" i="2"/>
  <c r="R85" i="1" l="1"/>
  <c r="Q85" i="1"/>
  <c r="P85" i="1"/>
  <c r="O85" i="1"/>
  <c r="R84" i="1"/>
  <c r="Q84" i="1"/>
  <c r="P84" i="1"/>
  <c r="O84" i="1"/>
  <c r="R83" i="1"/>
  <c r="Q83" i="1"/>
  <c r="P83" i="1"/>
  <c r="O83" i="1"/>
  <c r="R82" i="1"/>
  <c r="Q82" i="1"/>
  <c r="P82" i="1"/>
  <c r="O82" i="1"/>
  <c r="R81" i="1"/>
  <c r="Q81" i="1"/>
  <c r="P81" i="1"/>
  <c r="O81" i="1"/>
  <c r="R64" i="1"/>
  <c r="R65" i="1"/>
  <c r="R67" i="1"/>
  <c r="R62" i="1"/>
  <c r="Q67" i="1"/>
  <c r="R66" i="1"/>
  <c r="Q66" i="1"/>
  <c r="Q65" i="1"/>
  <c r="Q64" i="1"/>
  <c r="R63" i="1"/>
  <c r="Q63" i="1"/>
  <c r="P67" i="1"/>
  <c r="O67" i="1"/>
  <c r="P66" i="1"/>
  <c r="O66" i="1"/>
  <c r="P65" i="1"/>
  <c r="O65" i="1"/>
  <c r="P64" i="1"/>
  <c r="O64" i="1"/>
  <c r="P63" i="1"/>
  <c r="O63" i="1"/>
  <c r="I79" i="1" l="1"/>
  <c r="I58" i="1"/>
  <c r="R80" i="1"/>
  <c r="Q80" i="1"/>
  <c r="P80" i="1"/>
  <c r="O80" i="1"/>
  <c r="H80" i="1"/>
  <c r="R79" i="1"/>
  <c r="Q79" i="1"/>
  <c r="P79" i="1"/>
  <c r="O79" i="1"/>
  <c r="R78" i="1"/>
  <c r="Q78" i="1"/>
  <c r="P78" i="1"/>
  <c r="O78" i="1"/>
  <c r="R77" i="1"/>
  <c r="Q77" i="1"/>
  <c r="P77" i="1"/>
  <c r="O77" i="1"/>
  <c r="H77" i="1"/>
  <c r="R76" i="1"/>
  <c r="Q76" i="1"/>
  <c r="P76" i="1"/>
  <c r="O76" i="1"/>
  <c r="I76" i="1"/>
  <c r="R75" i="1"/>
  <c r="Q75" i="1"/>
  <c r="P75" i="1"/>
  <c r="O75" i="1"/>
  <c r="H75" i="1"/>
  <c r="R74" i="1"/>
  <c r="Q74" i="1"/>
  <c r="P74" i="1"/>
  <c r="O74" i="1"/>
  <c r="I74" i="1"/>
  <c r="R73" i="1"/>
  <c r="Q73" i="1"/>
  <c r="P73" i="1"/>
  <c r="O73" i="1"/>
  <c r="H73" i="1"/>
  <c r="R72" i="1"/>
  <c r="Q72" i="1"/>
  <c r="P72" i="1"/>
  <c r="O72" i="1"/>
  <c r="H62" i="1"/>
  <c r="H56" i="1"/>
  <c r="H53" i="1"/>
  <c r="H50" i="1"/>
  <c r="I54" i="1"/>
  <c r="I51" i="1"/>
  <c r="Q47" i="1"/>
  <c r="R47" i="1"/>
  <c r="Q48" i="1"/>
  <c r="R48" i="1"/>
  <c r="Q49" i="1"/>
  <c r="R49" i="1"/>
  <c r="Q50" i="1"/>
  <c r="R50" i="1"/>
  <c r="Q51" i="1"/>
  <c r="R51" i="1"/>
  <c r="Q52" i="1"/>
  <c r="R52" i="1"/>
  <c r="Q53" i="1"/>
  <c r="R53" i="1"/>
  <c r="Q54" i="1"/>
  <c r="R54" i="1"/>
  <c r="Q55" i="1"/>
  <c r="R55" i="1"/>
  <c r="Q56" i="1"/>
  <c r="R56" i="1"/>
  <c r="Q57" i="1"/>
  <c r="R57" i="1"/>
  <c r="Q58" i="1"/>
  <c r="R58" i="1"/>
  <c r="Q59" i="1"/>
  <c r="R59" i="1"/>
  <c r="Q60" i="1"/>
  <c r="R60" i="1"/>
  <c r="Q61" i="1"/>
  <c r="R61" i="1"/>
  <c r="Q62" i="1"/>
  <c r="R46" i="1"/>
  <c r="Q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j.d.landgrebe</author>
  </authors>
  <commentList>
    <comment ref="I46" authorId="0" shapeId="0" xr:uid="{A898CD8E-3F34-4FA2-BF08-4FF844C714B8}">
      <text>
        <r>
          <rPr>
            <b/>
            <sz val="9"/>
            <color indexed="81"/>
            <rFont val="Tahoma"/>
            <family val="2"/>
          </rPr>
          <t>can make np.nan based on mask_devcol_changed</t>
        </r>
      </text>
    </comment>
    <comment ref="G51" authorId="0" shapeId="0" xr:uid="{88C1EB48-A6EE-4427-8FBF-E86512DF0B2A}">
      <text>
        <r>
          <rPr>
            <b/>
            <sz val="9"/>
            <color indexed="81"/>
            <rFont val="Tahoma"/>
            <family val="2"/>
          </rPr>
          <t>Both Type1 and Type2 b/c prev refill percent is 0, but perfume type changes also</t>
        </r>
      </text>
    </comment>
    <comment ref="G58" authorId="0" shapeId="0" xr:uid="{5BDD83FA-3E5E-441B-BC13-750DB3993D12}">
      <text>
        <r>
          <rPr>
            <b/>
            <sz val="9"/>
            <color indexed="81"/>
            <rFont val="Tahoma"/>
            <family val="2"/>
          </rPr>
          <t>Type 1 b/c prev refill percent is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74" authorId="0" shapeId="0" xr:uid="{635B4BE4-2435-460E-98FA-5C4C03A9AE33}">
      <text>
        <r>
          <rPr>
            <b/>
            <sz val="9"/>
            <color indexed="81"/>
            <rFont val="Tahoma"/>
            <family val="2"/>
          </rPr>
          <t>Both Type1 and Type2 b/c prev refill percent is 0, but perfume type changes also</t>
        </r>
      </text>
    </comment>
    <comment ref="D78" authorId="0" shapeId="0" xr:uid="{85F3B045-AC52-48F8-9264-16F0AF95FB93}">
      <text>
        <r>
          <rPr>
            <b/>
            <sz val="9"/>
            <color indexed="81"/>
            <rFont val="Tahoma"/>
            <family val="2"/>
          </rPr>
          <t>inserted custom criterion so no Cons_in flag if cons_percent is zero in first row for new device</t>
        </r>
      </text>
    </comment>
    <comment ref="G79" authorId="0" shapeId="0" xr:uid="{6B2FDEEB-B246-4D2E-A7E1-E010B8720070}">
      <text>
        <r>
          <rPr>
            <b/>
            <sz val="9"/>
            <color indexed="81"/>
            <rFont val="Tahoma"/>
            <family val="2"/>
          </rPr>
          <t>Type 1 b/c prev refill percent is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79" authorId="0" shapeId="0" xr:uid="{794A6255-E0EE-4DCB-BB14-83207A8739F2}">
      <text>
        <r>
          <rPr>
            <b/>
            <sz val="9"/>
            <color indexed="81"/>
            <rFont val="Tahoma"/>
            <family val="2"/>
          </rPr>
          <t>need to filter out index=21 since 19 is the "in" for 22's "out"</t>
        </r>
      </text>
    </comment>
  </commentList>
</comments>
</file>

<file path=xl/sharedStrings.xml><?xml version="1.0" encoding="utf-8"?>
<sst xmlns="http://schemas.openxmlformats.org/spreadsheetml/2006/main" count="431" uniqueCount="36">
  <si>
    <t>index</t>
  </si>
  <si>
    <t>timestamp</t>
  </si>
  <si>
    <t>A</t>
  </si>
  <si>
    <t>B</t>
  </si>
  <si>
    <t>dev_sh_prev</t>
  </si>
  <si>
    <t>dev_sh_next</t>
  </si>
  <si>
    <t>mask_devcol_changed</t>
  </si>
  <si>
    <t>mask_devcol_changed2</t>
  </si>
  <si>
    <t>Dur_in_val</t>
  </si>
  <si>
    <t>Dur_out_val</t>
  </si>
  <si>
    <t>NA</t>
  </si>
  <si>
    <t>Cart_Dur_in_val</t>
  </si>
  <si>
    <t>C</t>
  </si>
  <si>
    <t>D</t>
  </si>
  <si>
    <t>device_ID</t>
  </si>
  <si>
    <t>cons_percent</t>
  </si>
  <si>
    <t>cons_type</t>
  </si>
  <si>
    <t>0?</t>
  </si>
  <si>
    <t>Cons_out_val</t>
  </si>
  <si>
    <t>Cons_in_val</t>
  </si>
  <si>
    <t>Cons_Dur_out_val</t>
  </si>
  <si>
    <t>Cons_Prev_Perc</t>
  </si>
  <si>
    <t>but then to blank out Cons_out_val, Cons_in_out and Cart_Dur_in because they cross device boundary</t>
  </si>
  <si>
    <t>cons_sh_prev</t>
  </si>
  <si>
    <t>cons_sh_next</t>
  </si>
  <si>
    <t>mask_typee_changed</t>
  </si>
  <si>
    <t>mask_typee_changed2</t>
  </si>
  <si>
    <t>MaskConsPercEvents (filters out rows where cons_percent is null)</t>
  </si>
  <si>
    <t>Type_100</t>
  </si>
  <si>
    <t>Type_110</t>
  </si>
  <si>
    <t>Type_120</t>
  </si>
  <si>
    <t>Type_0</t>
  </si>
  <si>
    <t>Type_130</t>
  </si>
  <si>
    <t>MaskOnOff (Just rows where columns F and G are populated)</t>
  </si>
  <si>
    <t>Note:  for Index 22, computation strategy has to be to populate values (across device change) to get the row in MaskOnOff</t>
  </si>
  <si>
    <t>4/29/20 FlagDeviceEvents.ipynb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</si>
</sst>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46">
    <xf numFmtId="0" fontId="0" fillId="0" borderId="0" xfId="0"/>
    <xf numFmtId="22" fontId="0" fillId="0" borderId="0" xfId="0" applyNumberForma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1" fillId="9" borderId="0" xfId="0" applyFont="1" applyFill="1"/>
    <xf numFmtId="0" fontId="0" fillId="0" borderId="1" xfId="0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2" fillId="2" borderId="0" xfId="1"/>
    <xf numFmtId="0" fontId="2" fillId="3" borderId="0" xfId="2"/>
    <xf numFmtId="0" fontId="0" fillId="10" borderId="0" xfId="0" applyFill="1" applyAlignment="1">
      <alignment horizontal="center"/>
    </xf>
    <xf numFmtId="0" fontId="1" fillId="10" borderId="0" xfId="0" applyFont="1" applyFill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1" fillId="11" borderId="0" xfId="0" applyFont="1" applyFill="1"/>
    <xf numFmtId="0" fontId="5" fillId="4" borderId="0" xfId="0" applyFont="1" applyFill="1" applyAlignment="1">
      <alignment horizontal="center"/>
    </xf>
    <xf numFmtId="0" fontId="1" fillId="4" borderId="0" xfId="0" applyFont="1" applyFill="1"/>
    <xf numFmtId="0" fontId="7" fillId="0" borderId="0" xfId="0" applyFont="1" applyAlignment="1">
      <alignment horizontal="center"/>
    </xf>
    <xf numFmtId="0" fontId="0" fillId="13" borderId="0" xfId="0" applyFill="1"/>
    <xf numFmtId="0" fontId="0" fillId="14" borderId="0" xfId="0" applyFill="1"/>
    <xf numFmtId="0" fontId="0" fillId="1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0" borderId="0" xfId="0" applyFill="1"/>
    <xf numFmtId="22" fontId="0" fillId="0" borderId="0" xfId="0" applyNumberFormat="1" applyFill="1"/>
    <xf numFmtId="0" fontId="0" fillId="0" borderId="0" xfId="0" applyFont="1" applyAlignment="1">
      <alignment horizontal="center"/>
    </xf>
    <xf numFmtId="0" fontId="0" fillId="0" borderId="0" xfId="0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0" fontId="0" fillId="0" borderId="0" xfId="0" applyAlignment="1">
      <alignment horizontal="left"/>
    </xf>
  </cellXfs>
  <cellStyles count="3">
    <cellStyle name="Accent1" xfId="1" builtinId="29"/>
    <cellStyle name="Accent6" xfId="2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933450</xdr:colOff>
      <xdr:row>91</xdr:row>
      <xdr:rowOff>109539</xdr:rowOff>
    </xdr:from>
    <xdr:to>
      <xdr:col>14</xdr:col>
      <xdr:colOff>1426406</xdr:colOff>
      <xdr:row>113</xdr:row>
      <xdr:rowOff>119063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B5850D-2B64-4F65-A781-6389E46F6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4775" y="16449677"/>
          <a:ext cx="8479669" cy="39909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59</xdr:row>
      <xdr:rowOff>123825</xdr:rowOff>
    </xdr:from>
    <xdr:to>
      <xdr:col>9</xdr:col>
      <xdr:colOff>673931</xdr:colOff>
      <xdr:row>81</xdr:row>
      <xdr:rowOff>133349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6C2624-24A8-4497-939A-F3D615EB8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0" y="10801350"/>
          <a:ext cx="8479669" cy="39909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53E4E-5C4E-4460-AC2B-5ECDFD4DE78D}">
  <dimension ref="A1:R91"/>
  <sheetViews>
    <sheetView tabSelected="1" topLeftCell="A52" workbookViewId="0">
      <selection activeCell="E88" sqref="E88"/>
    </sheetView>
  </sheetViews>
  <sheetFormatPr defaultRowHeight="14.25" outlineLevelCol="1" x14ac:dyDescent="0.45"/>
  <cols>
    <col min="1" max="1" width="7.19921875" bestFit="1" customWidth="1"/>
    <col min="2" max="2" width="20.265625" bestFit="1" customWidth="1"/>
    <col min="3" max="3" width="14.265625" bestFit="1" customWidth="1"/>
    <col min="4" max="4" width="13.46484375" bestFit="1" customWidth="1"/>
    <col min="5" max="5" width="14" style="8" bestFit="1" customWidth="1"/>
    <col min="6" max="10" width="16.86328125" customWidth="1"/>
    <col min="11" max="12" width="12.53125" hidden="1" customWidth="1" outlineLevel="1"/>
    <col min="13" max="14" width="13.265625" hidden="1" customWidth="1" outlineLevel="1"/>
    <col min="15" max="15" width="20.6640625" bestFit="1" customWidth="1" collapsed="1"/>
    <col min="16" max="16" width="21.6640625" bestFit="1" customWidth="1"/>
    <col min="17" max="17" width="22.265625" bestFit="1" customWidth="1"/>
    <col min="18" max="18" width="23.33203125" bestFit="1" customWidth="1"/>
  </cols>
  <sheetData>
    <row r="1" spans="1:14" x14ac:dyDescent="0.45">
      <c r="A1" t="s">
        <v>0</v>
      </c>
      <c r="B1" t="s">
        <v>14</v>
      </c>
      <c r="C1" t="s">
        <v>1</v>
      </c>
      <c r="D1" t="s">
        <v>15</v>
      </c>
      <c r="E1" s="8" t="s">
        <v>16</v>
      </c>
      <c r="K1" t="s">
        <v>4</v>
      </c>
      <c r="L1" t="s">
        <v>5</v>
      </c>
      <c r="M1" t="s">
        <v>23</v>
      </c>
      <c r="N1" t="s">
        <v>24</v>
      </c>
    </row>
    <row r="2" spans="1:14" x14ac:dyDescent="0.45">
      <c r="A2">
        <v>0</v>
      </c>
      <c r="B2" s="9" t="s">
        <v>2</v>
      </c>
      <c r="C2" s="1">
        <v>43831</v>
      </c>
      <c r="D2" s="2"/>
      <c r="E2" s="31" t="s">
        <v>28</v>
      </c>
    </row>
    <row r="3" spans="1:14" x14ac:dyDescent="0.45">
      <c r="A3">
        <v>1</v>
      </c>
      <c r="B3" s="9" t="s">
        <v>2</v>
      </c>
      <c r="C3" s="1">
        <v>43831.041666666664</v>
      </c>
      <c r="D3" s="2">
        <v>100</v>
      </c>
      <c r="E3" s="31" t="s">
        <v>28</v>
      </c>
    </row>
    <row r="4" spans="1:14" x14ac:dyDescent="0.45">
      <c r="A4">
        <v>2</v>
      </c>
      <c r="B4" s="9" t="s">
        <v>2</v>
      </c>
      <c r="C4" s="1">
        <v>43831.08333321759</v>
      </c>
      <c r="D4" s="2">
        <v>90</v>
      </c>
      <c r="E4" s="31" t="s">
        <v>28</v>
      </c>
    </row>
    <row r="5" spans="1:14" x14ac:dyDescent="0.45">
      <c r="A5">
        <v>3</v>
      </c>
      <c r="B5" s="9" t="s">
        <v>2</v>
      </c>
      <c r="C5" s="1">
        <v>43831.124999826388</v>
      </c>
      <c r="D5" s="2"/>
      <c r="E5" s="31"/>
    </row>
    <row r="6" spans="1:14" x14ac:dyDescent="0.45">
      <c r="A6">
        <v>4</v>
      </c>
      <c r="B6" s="9" t="s">
        <v>2</v>
      </c>
      <c r="C6" s="1">
        <v>43831.166666435187</v>
      </c>
      <c r="D6" s="2">
        <v>80</v>
      </c>
      <c r="E6" s="31" t="s">
        <v>28</v>
      </c>
    </row>
    <row r="7" spans="1:14" x14ac:dyDescent="0.45">
      <c r="A7">
        <v>5</v>
      </c>
      <c r="B7" s="9" t="s">
        <v>2</v>
      </c>
      <c r="C7" s="1">
        <v>43831.208333043978</v>
      </c>
      <c r="D7" s="2"/>
      <c r="E7" s="31"/>
    </row>
    <row r="8" spans="1:14" x14ac:dyDescent="0.45">
      <c r="A8">
        <v>6</v>
      </c>
      <c r="B8" s="9" t="s">
        <v>2</v>
      </c>
      <c r="C8" s="1">
        <v>43831.249999652777</v>
      </c>
      <c r="D8" s="2">
        <v>20</v>
      </c>
      <c r="E8" s="31" t="s">
        <v>28</v>
      </c>
    </row>
    <row r="9" spans="1:14" x14ac:dyDescent="0.45">
      <c r="A9">
        <v>7</v>
      </c>
      <c r="B9" s="9" t="s">
        <v>2</v>
      </c>
      <c r="C9" s="1">
        <v>43831.291666261575</v>
      </c>
      <c r="D9" s="2"/>
      <c r="E9" s="31"/>
    </row>
    <row r="10" spans="1:14" x14ac:dyDescent="0.45">
      <c r="A10">
        <v>8</v>
      </c>
      <c r="B10" s="9" t="s">
        <v>2</v>
      </c>
      <c r="C10" s="1">
        <v>43831.333332870374</v>
      </c>
      <c r="D10" s="2">
        <v>0</v>
      </c>
      <c r="E10" s="31" t="s">
        <v>28</v>
      </c>
    </row>
    <row r="11" spans="1:14" x14ac:dyDescent="0.45">
      <c r="A11">
        <v>9</v>
      </c>
      <c r="B11" s="9" t="s">
        <v>2</v>
      </c>
      <c r="C11" s="1">
        <v>43831.374999479165</v>
      </c>
      <c r="D11" s="3">
        <v>98</v>
      </c>
      <c r="E11" s="32" t="s">
        <v>29</v>
      </c>
    </row>
    <row r="12" spans="1:14" x14ac:dyDescent="0.45">
      <c r="A12">
        <v>10</v>
      </c>
      <c r="B12" s="9" t="s">
        <v>2</v>
      </c>
      <c r="C12" s="1">
        <v>43831.416666087964</v>
      </c>
      <c r="D12" s="3"/>
      <c r="E12" s="32"/>
    </row>
    <row r="13" spans="1:14" x14ac:dyDescent="0.45">
      <c r="A13">
        <v>11</v>
      </c>
      <c r="B13" s="9" t="s">
        <v>2</v>
      </c>
      <c r="C13" s="1">
        <v>43831.458332696762</v>
      </c>
      <c r="D13" s="3">
        <v>90</v>
      </c>
      <c r="E13" s="32" t="s">
        <v>29</v>
      </c>
    </row>
    <row r="14" spans="1:14" x14ac:dyDescent="0.45">
      <c r="A14">
        <v>12</v>
      </c>
      <c r="B14" s="9" t="s">
        <v>2</v>
      </c>
      <c r="C14" s="1">
        <v>43831.499999305554</v>
      </c>
      <c r="D14" s="3"/>
      <c r="E14" s="32"/>
    </row>
    <row r="15" spans="1:14" x14ac:dyDescent="0.45">
      <c r="A15">
        <v>13</v>
      </c>
      <c r="B15" s="9" t="s">
        <v>2</v>
      </c>
      <c r="C15" s="1">
        <v>43831.541665914352</v>
      </c>
      <c r="D15" s="3">
        <v>80</v>
      </c>
      <c r="E15" s="32" t="s">
        <v>29</v>
      </c>
    </row>
    <row r="16" spans="1:14" x14ac:dyDescent="0.45">
      <c r="A16">
        <v>14</v>
      </c>
      <c r="B16" s="9" t="s">
        <v>2</v>
      </c>
      <c r="C16" s="1">
        <v>43831.583332523151</v>
      </c>
      <c r="D16" s="4"/>
      <c r="E16" s="33"/>
    </row>
    <row r="17" spans="1:5" x14ac:dyDescent="0.45">
      <c r="A17">
        <v>15</v>
      </c>
      <c r="B17" s="9" t="s">
        <v>2</v>
      </c>
      <c r="C17" s="1">
        <v>43831.624999131942</v>
      </c>
      <c r="D17" s="4">
        <v>100</v>
      </c>
      <c r="E17" s="33" t="s">
        <v>30</v>
      </c>
    </row>
    <row r="18" spans="1:5" x14ac:dyDescent="0.45">
      <c r="A18">
        <v>16</v>
      </c>
      <c r="B18" s="9" t="s">
        <v>2</v>
      </c>
      <c r="C18" s="1">
        <v>43831.66666574074</v>
      </c>
      <c r="D18" s="4"/>
      <c r="E18" s="33"/>
    </row>
    <row r="19" spans="1:5" x14ac:dyDescent="0.45">
      <c r="A19">
        <v>17</v>
      </c>
      <c r="B19" s="9" t="s">
        <v>2</v>
      </c>
      <c r="C19" s="1">
        <v>43831.708332349539</v>
      </c>
      <c r="D19" s="4">
        <v>99</v>
      </c>
      <c r="E19" s="33" t="s">
        <v>30</v>
      </c>
    </row>
    <row r="20" spans="1:5" x14ac:dyDescent="0.45">
      <c r="A20">
        <v>18</v>
      </c>
      <c r="B20" s="9" t="s">
        <v>2</v>
      </c>
      <c r="C20" s="1">
        <v>43831.74999895833</v>
      </c>
      <c r="D20" s="4"/>
      <c r="E20" s="33"/>
    </row>
    <row r="21" spans="1:5" x14ac:dyDescent="0.45">
      <c r="A21">
        <v>19</v>
      </c>
      <c r="B21" s="9" t="s">
        <v>2</v>
      </c>
      <c r="C21" s="1">
        <v>43831.791665567129</v>
      </c>
      <c r="D21" s="4">
        <v>98</v>
      </c>
      <c r="E21" s="33" t="s">
        <v>30</v>
      </c>
    </row>
    <row r="22" spans="1:5" x14ac:dyDescent="0.45">
      <c r="A22">
        <v>20</v>
      </c>
      <c r="B22" s="9" t="s">
        <v>2</v>
      </c>
      <c r="C22" s="1">
        <v>43831.833332175927</v>
      </c>
      <c r="D22" s="4"/>
      <c r="E22" s="33"/>
    </row>
    <row r="23" spans="1:5" x14ac:dyDescent="0.45">
      <c r="A23">
        <v>21</v>
      </c>
      <c r="B23" s="8" t="s">
        <v>3</v>
      </c>
      <c r="C23" s="1">
        <v>43840</v>
      </c>
      <c r="D23" s="5">
        <v>0</v>
      </c>
      <c r="E23" s="34" t="s">
        <v>30</v>
      </c>
    </row>
    <row r="24" spans="1:5" x14ac:dyDescent="0.45">
      <c r="A24">
        <v>22</v>
      </c>
      <c r="B24" s="8" t="s">
        <v>3</v>
      </c>
      <c r="C24" s="1">
        <v>43840.041666666664</v>
      </c>
      <c r="D24" s="5">
        <v>100</v>
      </c>
      <c r="E24" s="34" t="s">
        <v>30</v>
      </c>
    </row>
    <row r="25" spans="1:5" x14ac:dyDescent="0.45">
      <c r="A25">
        <v>23</v>
      </c>
      <c r="B25" s="8" t="s">
        <v>3</v>
      </c>
      <c r="C25" s="1">
        <v>43840.08333321759</v>
      </c>
      <c r="D25" s="5"/>
      <c r="E25" s="34"/>
    </row>
    <row r="26" spans="1:5" x14ac:dyDescent="0.45">
      <c r="A26">
        <v>24</v>
      </c>
      <c r="B26" s="8" t="s">
        <v>3</v>
      </c>
      <c r="C26" s="1">
        <v>43840.124999826388</v>
      </c>
      <c r="D26" s="5">
        <v>90</v>
      </c>
      <c r="E26" s="34" t="s">
        <v>30</v>
      </c>
    </row>
    <row r="27" spans="1:5" x14ac:dyDescent="0.45">
      <c r="A27">
        <v>25</v>
      </c>
      <c r="B27" s="8" t="s">
        <v>3</v>
      </c>
      <c r="C27" s="1">
        <v>43840.166666435187</v>
      </c>
      <c r="D27" s="5"/>
      <c r="E27" s="34"/>
    </row>
    <row r="28" spans="1:5" x14ac:dyDescent="0.45">
      <c r="A28">
        <v>26</v>
      </c>
      <c r="B28" s="8" t="s">
        <v>3</v>
      </c>
      <c r="C28" s="1">
        <v>43840.208333043978</v>
      </c>
      <c r="D28" s="5">
        <v>80</v>
      </c>
      <c r="E28" s="34" t="s">
        <v>30</v>
      </c>
    </row>
    <row r="29" spans="1:5" x14ac:dyDescent="0.45">
      <c r="A29">
        <v>27</v>
      </c>
      <c r="B29" s="8" t="s">
        <v>3</v>
      </c>
      <c r="C29" s="1">
        <v>43840.249999652777</v>
      </c>
      <c r="D29" s="5"/>
      <c r="E29" s="34"/>
    </row>
    <row r="30" spans="1:5" x14ac:dyDescent="0.45">
      <c r="A30">
        <v>28</v>
      </c>
      <c r="B30" s="8" t="s">
        <v>3</v>
      </c>
      <c r="C30" s="1">
        <v>43840.291666261575</v>
      </c>
      <c r="D30" s="5">
        <v>70</v>
      </c>
      <c r="E30" s="34" t="s">
        <v>30</v>
      </c>
    </row>
    <row r="31" spans="1:5" x14ac:dyDescent="0.45">
      <c r="A31">
        <v>29</v>
      </c>
      <c r="B31" s="8" t="s">
        <v>3</v>
      </c>
      <c r="C31" s="1">
        <v>43840.333332870374</v>
      </c>
      <c r="D31" s="5"/>
      <c r="E31" s="34"/>
    </row>
    <row r="32" spans="1:5" x14ac:dyDescent="0.45">
      <c r="A32">
        <v>30</v>
      </c>
      <c r="B32" s="8" t="s">
        <v>3</v>
      </c>
      <c r="C32" s="1">
        <v>43840.374999479165</v>
      </c>
      <c r="D32" s="5">
        <v>60</v>
      </c>
      <c r="E32" s="34" t="s">
        <v>30</v>
      </c>
    </row>
    <row r="33" spans="1:18" x14ac:dyDescent="0.45">
      <c r="A33">
        <v>31</v>
      </c>
      <c r="B33" s="28" t="s">
        <v>12</v>
      </c>
      <c r="C33" s="1">
        <v>43850.041666666664</v>
      </c>
      <c r="D33" s="2">
        <v>99</v>
      </c>
      <c r="E33" s="31" t="s">
        <v>30</v>
      </c>
    </row>
    <row r="34" spans="1:18" x14ac:dyDescent="0.45">
      <c r="A34">
        <v>32</v>
      </c>
      <c r="B34" s="28" t="s">
        <v>12</v>
      </c>
      <c r="C34" s="1">
        <v>43850.083333333336</v>
      </c>
      <c r="D34" s="2"/>
      <c r="E34" s="31"/>
    </row>
    <row r="35" spans="1:18" x14ac:dyDescent="0.45">
      <c r="A35">
        <v>33</v>
      </c>
      <c r="B35" s="28" t="s">
        <v>12</v>
      </c>
      <c r="C35" s="1">
        <v>43850.125</v>
      </c>
      <c r="D35" s="2">
        <v>98</v>
      </c>
      <c r="E35" s="31" t="s">
        <v>30</v>
      </c>
    </row>
    <row r="36" spans="1:18" x14ac:dyDescent="0.45">
      <c r="A36">
        <v>34</v>
      </c>
      <c r="B36" s="28" t="s">
        <v>12</v>
      </c>
      <c r="C36" s="1">
        <v>43850.166666666664</v>
      </c>
      <c r="D36" s="26">
        <v>98</v>
      </c>
      <c r="E36" s="35" t="s">
        <v>31</v>
      </c>
    </row>
    <row r="37" spans="1:18" x14ac:dyDescent="0.45">
      <c r="A37">
        <v>35</v>
      </c>
      <c r="B37" s="28" t="s">
        <v>12</v>
      </c>
      <c r="C37" s="1">
        <v>43850.208333333336</v>
      </c>
      <c r="D37" s="27">
        <v>100</v>
      </c>
      <c r="E37" s="36" t="s">
        <v>32</v>
      </c>
    </row>
    <row r="38" spans="1:18" x14ac:dyDescent="0.45">
      <c r="A38">
        <v>36</v>
      </c>
      <c r="B38" s="28" t="s">
        <v>12</v>
      </c>
      <c r="C38" s="1">
        <v>43850.25</v>
      </c>
      <c r="D38" s="27"/>
      <c r="E38" s="36"/>
    </row>
    <row r="39" spans="1:18" x14ac:dyDescent="0.45">
      <c r="A39">
        <v>37</v>
      </c>
      <c r="B39" s="28" t="s">
        <v>12</v>
      </c>
      <c r="C39" s="1">
        <v>43850.291666666664</v>
      </c>
      <c r="D39" s="27">
        <v>70</v>
      </c>
      <c r="E39" s="36" t="s">
        <v>32</v>
      </c>
    </row>
    <row r="40" spans="1:18" x14ac:dyDescent="0.45">
      <c r="A40">
        <v>38</v>
      </c>
      <c r="B40" s="29" t="s">
        <v>13</v>
      </c>
      <c r="C40" s="1">
        <v>43850.333333333336</v>
      </c>
      <c r="D40" s="27"/>
      <c r="E40" s="36"/>
    </row>
    <row r="41" spans="1:18" x14ac:dyDescent="0.45">
      <c r="A41">
        <v>39</v>
      </c>
      <c r="B41" s="29" t="s">
        <v>13</v>
      </c>
      <c r="C41" s="1">
        <v>43850.375</v>
      </c>
      <c r="D41" s="27"/>
      <c r="E41" s="36"/>
    </row>
    <row r="42" spans="1:18" x14ac:dyDescent="0.45">
      <c r="A42">
        <v>40</v>
      </c>
      <c r="B42" s="29" t="s">
        <v>13</v>
      </c>
      <c r="C42" s="1">
        <v>43850.416666666664</v>
      </c>
      <c r="D42" s="27"/>
      <c r="E42" s="36"/>
    </row>
    <row r="44" spans="1:18" x14ac:dyDescent="0.45">
      <c r="A44" s="15" t="s">
        <v>27</v>
      </c>
      <c r="C44" s="1"/>
    </row>
    <row r="45" spans="1:18" x14ac:dyDescent="0.45">
      <c r="A45" t="s">
        <v>0</v>
      </c>
      <c r="B45" t="s">
        <v>14</v>
      </c>
      <c r="C45" t="s">
        <v>1</v>
      </c>
      <c r="D45" t="s">
        <v>15</v>
      </c>
      <c r="E45" s="8" t="s">
        <v>16</v>
      </c>
      <c r="F45" s="8" t="s">
        <v>18</v>
      </c>
      <c r="G45" s="8" t="s">
        <v>19</v>
      </c>
      <c r="H45" s="8" t="s">
        <v>11</v>
      </c>
      <c r="I45" s="8" t="s">
        <v>20</v>
      </c>
      <c r="J45" s="8" t="s">
        <v>21</v>
      </c>
      <c r="K45" s="8" t="s">
        <v>4</v>
      </c>
      <c r="L45" s="8" t="s">
        <v>5</v>
      </c>
      <c r="M45" t="s">
        <v>23</v>
      </c>
      <c r="N45" t="s">
        <v>24</v>
      </c>
      <c r="O45" s="16" t="s">
        <v>6</v>
      </c>
      <c r="P45" s="16" t="s">
        <v>7</v>
      </c>
      <c r="Q45" s="17" t="s">
        <v>25</v>
      </c>
      <c r="R45" s="17" t="s">
        <v>26</v>
      </c>
    </row>
    <row r="46" spans="1:18" x14ac:dyDescent="0.45">
      <c r="A46">
        <v>1</v>
      </c>
      <c r="B46" s="9" t="s">
        <v>2</v>
      </c>
      <c r="C46" s="1">
        <v>43831.041666666664</v>
      </c>
      <c r="D46" s="2">
        <v>100</v>
      </c>
      <c r="E46" s="31" t="s">
        <v>28</v>
      </c>
      <c r="F46" s="8"/>
      <c r="G46" s="10">
        <v>1</v>
      </c>
      <c r="H46" s="8"/>
      <c r="I46" s="23" t="s">
        <v>10</v>
      </c>
      <c r="J46" s="14"/>
      <c r="K46" s="8"/>
      <c r="L46" s="9" t="s">
        <v>2</v>
      </c>
      <c r="M46" s="8"/>
      <c r="N46" s="31" t="s">
        <v>28</v>
      </c>
      <c r="O46" s="24" t="b">
        <f t="shared" ref="O46:O62" si="0">IF(B46&lt;&gt;K46,TRUE,FALSE)</f>
        <v>1</v>
      </c>
      <c r="P46" s="7" t="b">
        <f t="shared" ref="P46:P62" si="1">IF(B46&lt;&gt;L46,TRUE,FALSE)</f>
        <v>0</v>
      </c>
      <c r="Q46" s="11" t="b">
        <f t="shared" ref="Q46:Q62" si="2">IF(E46&lt;&gt;M46,TRUE,FALSE)</f>
        <v>1</v>
      </c>
      <c r="R46" s="7" t="b">
        <f t="shared" ref="R46:R62" si="3">IF(E46&lt;&gt;N46,TRUE,FALSE)</f>
        <v>0</v>
      </c>
    </row>
    <row r="47" spans="1:18" x14ac:dyDescent="0.45">
      <c r="A47">
        <v>2</v>
      </c>
      <c r="B47" s="9" t="s">
        <v>2</v>
      </c>
      <c r="C47" s="1">
        <v>43831.08333321759</v>
      </c>
      <c r="D47" s="2">
        <v>90</v>
      </c>
      <c r="E47" s="31" t="s">
        <v>28</v>
      </c>
      <c r="F47" s="8"/>
      <c r="G47" s="8"/>
      <c r="H47" s="8"/>
      <c r="I47" s="8"/>
      <c r="J47" s="8"/>
      <c r="K47" s="9" t="s">
        <v>2</v>
      </c>
      <c r="L47" s="9" t="s">
        <v>2</v>
      </c>
      <c r="M47" s="31" t="s">
        <v>28</v>
      </c>
      <c r="N47" s="31" t="s">
        <v>28</v>
      </c>
      <c r="O47" t="b">
        <f t="shared" si="0"/>
        <v>0</v>
      </c>
      <c r="P47" s="7" t="b">
        <f t="shared" si="1"/>
        <v>0</v>
      </c>
      <c r="Q47" s="7" t="b">
        <f t="shared" si="2"/>
        <v>0</v>
      </c>
      <c r="R47" s="7" t="b">
        <f t="shared" si="3"/>
        <v>0</v>
      </c>
    </row>
    <row r="48" spans="1:18" x14ac:dyDescent="0.45">
      <c r="A48">
        <v>4</v>
      </c>
      <c r="B48" s="9" t="s">
        <v>2</v>
      </c>
      <c r="C48" s="1">
        <v>43831.166666435187</v>
      </c>
      <c r="D48" s="2">
        <v>80</v>
      </c>
      <c r="E48" s="31" t="s">
        <v>28</v>
      </c>
      <c r="F48" s="8"/>
      <c r="G48" s="8"/>
      <c r="H48" s="8"/>
      <c r="I48" s="8"/>
      <c r="J48" s="8"/>
      <c r="K48" s="9" t="s">
        <v>2</v>
      </c>
      <c r="L48" s="9" t="s">
        <v>2</v>
      </c>
      <c r="M48" s="31" t="s">
        <v>28</v>
      </c>
      <c r="N48" s="31" t="s">
        <v>28</v>
      </c>
      <c r="O48" t="b">
        <f t="shared" si="0"/>
        <v>0</v>
      </c>
      <c r="P48" s="7" t="b">
        <f t="shared" si="1"/>
        <v>0</v>
      </c>
      <c r="Q48" s="7" t="b">
        <f t="shared" si="2"/>
        <v>0</v>
      </c>
      <c r="R48" s="7" t="b">
        <f t="shared" si="3"/>
        <v>0</v>
      </c>
    </row>
    <row r="49" spans="1:18" ht="14.65" thickBot="1" x14ac:dyDescent="0.5">
      <c r="A49">
        <v>6</v>
      </c>
      <c r="B49" s="9" t="s">
        <v>2</v>
      </c>
      <c r="C49" s="1">
        <v>43831.249999652777</v>
      </c>
      <c r="D49" s="2">
        <v>20</v>
      </c>
      <c r="E49" s="31" t="s">
        <v>28</v>
      </c>
      <c r="F49" s="8"/>
      <c r="G49" s="8"/>
      <c r="H49" s="8"/>
      <c r="I49" s="8"/>
      <c r="J49" s="8"/>
      <c r="K49" s="9" t="s">
        <v>2</v>
      </c>
      <c r="L49" s="9" t="s">
        <v>2</v>
      </c>
      <c r="M49" s="31" t="s">
        <v>28</v>
      </c>
      <c r="N49" s="31" t="s">
        <v>28</v>
      </c>
      <c r="O49" t="b">
        <f t="shared" si="0"/>
        <v>0</v>
      </c>
      <c r="P49" s="7" t="b">
        <f t="shared" si="1"/>
        <v>0</v>
      </c>
      <c r="Q49" s="7" t="b">
        <f t="shared" si="2"/>
        <v>0</v>
      </c>
      <c r="R49" s="7" t="b">
        <f t="shared" si="3"/>
        <v>0</v>
      </c>
    </row>
    <row r="50" spans="1:18" ht="14.65" thickBot="1" x14ac:dyDescent="0.5">
      <c r="A50">
        <v>8</v>
      </c>
      <c r="B50" s="9" t="s">
        <v>2</v>
      </c>
      <c r="C50" s="1">
        <v>43831.333332870374</v>
      </c>
      <c r="D50" s="2">
        <v>0</v>
      </c>
      <c r="E50" s="31" t="s">
        <v>28</v>
      </c>
      <c r="F50" s="20">
        <v>1</v>
      </c>
      <c r="G50" s="8"/>
      <c r="H50" s="8">
        <f>ROUND((C50-C46)*24*60,0)</f>
        <v>420</v>
      </c>
      <c r="I50" s="8"/>
      <c r="J50" s="8">
        <v>100</v>
      </c>
      <c r="K50" s="9" t="s">
        <v>2</v>
      </c>
      <c r="L50" s="9" t="s">
        <v>2</v>
      </c>
      <c r="M50" s="31" t="s">
        <v>28</v>
      </c>
      <c r="N50" s="32" t="s">
        <v>29</v>
      </c>
      <c r="O50" t="b">
        <f t="shared" si="0"/>
        <v>0</v>
      </c>
      <c r="P50" s="7" t="b">
        <f t="shared" si="1"/>
        <v>0</v>
      </c>
      <c r="Q50" s="7" t="b">
        <f t="shared" si="2"/>
        <v>0</v>
      </c>
      <c r="R50" s="19" t="b">
        <f t="shared" si="3"/>
        <v>1</v>
      </c>
    </row>
    <row r="51" spans="1:18" ht="14.65" thickBot="1" x14ac:dyDescent="0.5">
      <c r="A51">
        <v>9</v>
      </c>
      <c r="B51" s="9" t="s">
        <v>2</v>
      </c>
      <c r="C51" s="1">
        <v>43831.374999479165</v>
      </c>
      <c r="D51" s="3">
        <v>98</v>
      </c>
      <c r="E51" s="32" t="s">
        <v>29</v>
      </c>
      <c r="F51" s="8"/>
      <c r="G51" s="13">
        <v>1</v>
      </c>
      <c r="H51" s="8"/>
      <c r="I51" s="8">
        <f>ROUND((C51-C50)*24*60,0)</f>
        <v>60</v>
      </c>
      <c r="J51" s="8">
        <v>0</v>
      </c>
      <c r="K51" s="9" t="s">
        <v>2</v>
      </c>
      <c r="L51" s="9" t="s">
        <v>2</v>
      </c>
      <c r="M51" s="31" t="s">
        <v>28</v>
      </c>
      <c r="N51" s="32" t="s">
        <v>29</v>
      </c>
      <c r="O51" t="b">
        <f t="shared" si="0"/>
        <v>0</v>
      </c>
      <c r="P51" s="7" t="b">
        <f t="shared" si="1"/>
        <v>0</v>
      </c>
      <c r="Q51" s="11" t="b">
        <f t="shared" si="2"/>
        <v>1</v>
      </c>
      <c r="R51" s="7" t="b">
        <f t="shared" si="3"/>
        <v>0</v>
      </c>
    </row>
    <row r="52" spans="1:18" x14ac:dyDescent="0.45">
      <c r="A52">
        <v>11</v>
      </c>
      <c r="B52" s="9" t="s">
        <v>2</v>
      </c>
      <c r="C52" s="1">
        <v>43831.458332696762</v>
      </c>
      <c r="D52" s="3">
        <v>90</v>
      </c>
      <c r="E52" s="32" t="s">
        <v>29</v>
      </c>
      <c r="F52" s="8"/>
      <c r="G52" s="8"/>
      <c r="H52" s="8"/>
      <c r="I52" s="8"/>
      <c r="J52" s="8"/>
      <c r="K52" s="9" t="s">
        <v>2</v>
      </c>
      <c r="L52" s="9" t="s">
        <v>2</v>
      </c>
      <c r="M52" s="32" t="s">
        <v>29</v>
      </c>
      <c r="N52" s="32" t="s">
        <v>29</v>
      </c>
      <c r="O52" t="b">
        <f t="shared" si="0"/>
        <v>0</v>
      </c>
      <c r="P52" s="7" t="b">
        <f t="shared" si="1"/>
        <v>0</v>
      </c>
      <c r="Q52" s="7" t="b">
        <f t="shared" si="2"/>
        <v>0</v>
      </c>
      <c r="R52" s="7" t="b">
        <f t="shared" si="3"/>
        <v>0</v>
      </c>
    </row>
    <row r="53" spans="1:18" x14ac:dyDescent="0.45">
      <c r="A53">
        <v>13</v>
      </c>
      <c r="B53" s="9" t="s">
        <v>2</v>
      </c>
      <c r="C53" s="1">
        <v>43831.541665914352</v>
      </c>
      <c r="D53" s="3">
        <v>80</v>
      </c>
      <c r="E53" s="32" t="s">
        <v>29</v>
      </c>
      <c r="F53" s="18">
        <v>1</v>
      </c>
      <c r="G53" s="8"/>
      <c r="H53" s="8">
        <f>ROUND((C53-C51)*24*60,0)</f>
        <v>240</v>
      </c>
      <c r="I53" s="8"/>
      <c r="J53" s="8">
        <v>98</v>
      </c>
      <c r="K53" s="9" t="s">
        <v>2</v>
      </c>
      <c r="L53" s="9" t="s">
        <v>2</v>
      </c>
      <c r="M53" s="32" t="s">
        <v>29</v>
      </c>
      <c r="N53" s="33" t="s">
        <v>30</v>
      </c>
      <c r="O53" t="b">
        <f t="shared" si="0"/>
        <v>0</v>
      </c>
      <c r="P53" s="7" t="b">
        <f t="shared" si="1"/>
        <v>0</v>
      </c>
      <c r="Q53" s="7" t="b">
        <f t="shared" si="2"/>
        <v>0</v>
      </c>
      <c r="R53" s="19" t="b">
        <f t="shared" si="3"/>
        <v>1</v>
      </c>
    </row>
    <row r="54" spans="1:18" x14ac:dyDescent="0.45">
      <c r="A54">
        <v>15</v>
      </c>
      <c r="B54" s="9" t="s">
        <v>2</v>
      </c>
      <c r="C54" s="1">
        <v>43831.624999131942</v>
      </c>
      <c r="D54" s="4">
        <v>100</v>
      </c>
      <c r="E54" s="33" t="s">
        <v>30</v>
      </c>
      <c r="F54" s="8"/>
      <c r="G54" s="10">
        <v>1</v>
      </c>
      <c r="H54" s="8"/>
      <c r="I54" s="8">
        <f>ROUND((C54-C53)*24*60,0)</f>
        <v>120</v>
      </c>
      <c r="J54" s="8">
        <v>80</v>
      </c>
      <c r="K54" s="9" t="s">
        <v>2</v>
      </c>
      <c r="L54" s="9" t="s">
        <v>2</v>
      </c>
      <c r="M54" s="32" t="s">
        <v>29</v>
      </c>
      <c r="N54" s="33" t="s">
        <v>30</v>
      </c>
      <c r="O54" t="b">
        <f t="shared" si="0"/>
        <v>0</v>
      </c>
      <c r="P54" s="7" t="b">
        <f t="shared" si="1"/>
        <v>0</v>
      </c>
      <c r="Q54" s="11" t="b">
        <f t="shared" si="2"/>
        <v>1</v>
      </c>
      <c r="R54" s="7" t="b">
        <f t="shared" si="3"/>
        <v>0</v>
      </c>
    </row>
    <row r="55" spans="1:18" x14ac:dyDescent="0.45">
      <c r="A55">
        <v>17</v>
      </c>
      <c r="B55" s="9" t="s">
        <v>2</v>
      </c>
      <c r="C55" s="1">
        <v>43831.708332349539</v>
      </c>
      <c r="D55" s="4">
        <v>99</v>
      </c>
      <c r="E55" s="33" t="s">
        <v>30</v>
      </c>
      <c r="F55" s="8"/>
      <c r="G55" s="8"/>
      <c r="H55" s="8"/>
      <c r="I55" s="8"/>
      <c r="J55" s="8"/>
      <c r="K55" s="9" t="s">
        <v>2</v>
      </c>
      <c r="L55" s="9" t="s">
        <v>2</v>
      </c>
      <c r="M55" s="33" t="s">
        <v>30</v>
      </c>
      <c r="N55" s="33" t="s">
        <v>30</v>
      </c>
      <c r="O55" t="b">
        <f t="shared" si="0"/>
        <v>0</v>
      </c>
      <c r="P55" s="7" t="b">
        <f t="shared" si="1"/>
        <v>0</v>
      </c>
      <c r="Q55" s="7" t="b">
        <f t="shared" si="2"/>
        <v>0</v>
      </c>
      <c r="R55" s="7" t="b">
        <f t="shared" si="3"/>
        <v>0</v>
      </c>
    </row>
    <row r="56" spans="1:18" ht="14.65" thickBot="1" x14ac:dyDescent="0.5">
      <c r="A56">
        <v>19</v>
      </c>
      <c r="B56" s="9" t="s">
        <v>2</v>
      </c>
      <c r="C56" s="1">
        <v>43831.791665567129</v>
      </c>
      <c r="D56" s="4">
        <v>98</v>
      </c>
      <c r="E56" s="33" t="s">
        <v>30</v>
      </c>
      <c r="F56" s="21">
        <v>1</v>
      </c>
      <c r="G56" s="8"/>
      <c r="H56" s="8">
        <f>ROUND((C56-C54)*24*60,0)</f>
        <v>240</v>
      </c>
      <c r="I56" s="8"/>
      <c r="J56" s="8">
        <v>100</v>
      </c>
      <c r="K56" s="9" t="s">
        <v>2</v>
      </c>
      <c r="L56" s="8" t="s">
        <v>3</v>
      </c>
      <c r="M56" s="33" t="s">
        <v>30</v>
      </c>
      <c r="N56" s="34" t="s">
        <v>30</v>
      </c>
      <c r="O56" t="b">
        <f t="shared" si="0"/>
        <v>0</v>
      </c>
      <c r="P56" s="22" t="b">
        <f t="shared" si="1"/>
        <v>1</v>
      </c>
      <c r="Q56" s="7" t="b">
        <f t="shared" si="2"/>
        <v>0</v>
      </c>
      <c r="R56" s="7" t="b">
        <f t="shared" si="3"/>
        <v>0</v>
      </c>
    </row>
    <row r="57" spans="1:18" ht="14.65" thickBot="1" x14ac:dyDescent="0.5">
      <c r="A57">
        <v>21</v>
      </c>
      <c r="B57" s="8" t="s">
        <v>3</v>
      </c>
      <c r="C57" s="1">
        <v>43840</v>
      </c>
      <c r="D57" s="5">
        <v>0</v>
      </c>
      <c r="E57" s="34" t="s">
        <v>30</v>
      </c>
      <c r="F57" s="12"/>
      <c r="G57" s="8"/>
      <c r="H57" s="8"/>
      <c r="I57" s="8"/>
      <c r="J57" s="8"/>
      <c r="K57" s="9" t="s">
        <v>2</v>
      </c>
      <c r="L57" s="8" t="s">
        <v>3</v>
      </c>
      <c r="M57" s="33" t="s">
        <v>30</v>
      </c>
      <c r="N57" s="34" t="s">
        <v>30</v>
      </c>
      <c r="O57" s="6" t="b">
        <f t="shared" si="0"/>
        <v>1</v>
      </c>
      <c r="P57" s="7" t="b">
        <f t="shared" si="1"/>
        <v>0</v>
      </c>
      <c r="Q57" s="7" t="b">
        <f t="shared" si="2"/>
        <v>0</v>
      </c>
      <c r="R57" s="7" t="b">
        <f t="shared" si="3"/>
        <v>0</v>
      </c>
    </row>
    <row r="58" spans="1:18" ht="14.65" thickBot="1" x14ac:dyDescent="0.5">
      <c r="A58">
        <v>22</v>
      </c>
      <c r="B58" s="8" t="s">
        <v>3</v>
      </c>
      <c r="C58" s="1">
        <v>43840.041666666664</v>
      </c>
      <c r="D58" s="5">
        <v>100</v>
      </c>
      <c r="E58" s="34" t="s">
        <v>30</v>
      </c>
      <c r="F58" s="8"/>
      <c r="G58" s="12">
        <v>1</v>
      </c>
      <c r="H58" s="8"/>
      <c r="I58" s="8">
        <f>ROUND((C58-C57)*24*60,0)</f>
        <v>60</v>
      </c>
      <c r="J58" s="8">
        <v>0</v>
      </c>
      <c r="K58" s="8" t="s">
        <v>3</v>
      </c>
      <c r="L58" s="8" t="s">
        <v>3</v>
      </c>
      <c r="M58" s="34" t="s">
        <v>30</v>
      </c>
      <c r="N58" s="34" t="s">
        <v>30</v>
      </c>
      <c r="O58" t="b">
        <f t="shared" si="0"/>
        <v>0</v>
      </c>
      <c r="P58" s="7" t="b">
        <f t="shared" si="1"/>
        <v>0</v>
      </c>
      <c r="Q58" s="7" t="b">
        <f t="shared" si="2"/>
        <v>0</v>
      </c>
      <c r="R58" s="7" t="b">
        <f t="shared" si="3"/>
        <v>0</v>
      </c>
    </row>
    <row r="59" spans="1:18" x14ac:dyDescent="0.45">
      <c r="A59">
        <v>24</v>
      </c>
      <c r="B59" s="8" t="s">
        <v>3</v>
      </c>
      <c r="C59" s="1">
        <v>43840.124999826388</v>
      </c>
      <c r="D59" s="5">
        <v>90</v>
      </c>
      <c r="E59" s="34" t="s">
        <v>30</v>
      </c>
      <c r="F59" s="8"/>
      <c r="G59" s="8"/>
      <c r="H59" s="8"/>
      <c r="I59" s="8"/>
      <c r="J59" s="8"/>
      <c r="K59" s="8" t="s">
        <v>3</v>
      </c>
      <c r="L59" s="8" t="s">
        <v>3</v>
      </c>
      <c r="M59" s="34" t="s">
        <v>30</v>
      </c>
      <c r="N59" s="34" t="s">
        <v>30</v>
      </c>
      <c r="O59" t="b">
        <f t="shared" si="0"/>
        <v>0</v>
      </c>
      <c r="P59" s="7" t="b">
        <f t="shared" si="1"/>
        <v>0</v>
      </c>
      <c r="Q59" s="7" t="b">
        <f t="shared" si="2"/>
        <v>0</v>
      </c>
      <c r="R59" s="7" t="b">
        <f t="shared" si="3"/>
        <v>0</v>
      </c>
    </row>
    <row r="60" spans="1:18" x14ac:dyDescent="0.45">
      <c r="A60">
        <v>26</v>
      </c>
      <c r="B60" s="8" t="s">
        <v>3</v>
      </c>
      <c r="C60" s="1">
        <v>43840.208333043978</v>
      </c>
      <c r="D60" s="5">
        <v>80</v>
      </c>
      <c r="E60" s="34" t="s">
        <v>30</v>
      </c>
      <c r="F60" s="8"/>
      <c r="G60" s="8"/>
      <c r="H60" s="8"/>
      <c r="I60" s="8"/>
      <c r="J60" s="8"/>
      <c r="K60" s="8" t="s">
        <v>3</v>
      </c>
      <c r="L60" s="8" t="s">
        <v>3</v>
      </c>
      <c r="M60" s="34" t="s">
        <v>30</v>
      </c>
      <c r="N60" s="34" t="s">
        <v>30</v>
      </c>
      <c r="O60" t="b">
        <f t="shared" si="0"/>
        <v>0</v>
      </c>
      <c r="P60" s="7" t="b">
        <f t="shared" si="1"/>
        <v>0</v>
      </c>
      <c r="Q60" s="7" t="b">
        <f t="shared" si="2"/>
        <v>0</v>
      </c>
      <c r="R60" s="7" t="b">
        <f t="shared" si="3"/>
        <v>0</v>
      </c>
    </row>
    <row r="61" spans="1:18" x14ac:dyDescent="0.45">
      <c r="A61">
        <v>28</v>
      </c>
      <c r="B61" s="8" t="s">
        <v>3</v>
      </c>
      <c r="C61" s="1">
        <v>43840.291666261575</v>
      </c>
      <c r="D61" s="5">
        <v>70</v>
      </c>
      <c r="E61" s="34" t="s">
        <v>30</v>
      </c>
      <c r="F61" s="8"/>
      <c r="G61" s="8"/>
      <c r="H61" s="8"/>
      <c r="I61" s="8"/>
      <c r="J61" s="8"/>
      <c r="K61" s="8" t="s">
        <v>3</v>
      </c>
      <c r="L61" s="8" t="s">
        <v>3</v>
      </c>
      <c r="M61" s="34" t="s">
        <v>30</v>
      </c>
      <c r="N61" s="34" t="s">
        <v>30</v>
      </c>
      <c r="O61" t="b">
        <f t="shared" si="0"/>
        <v>0</v>
      </c>
      <c r="P61" s="7" t="b">
        <f t="shared" si="1"/>
        <v>0</v>
      </c>
      <c r="Q61" s="7" t="b">
        <f t="shared" si="2"/>
        <v>0</v>
      </c>
      <c r="R61" s="7" t="b">
        <f t="shared" si="3"/>
        <v>0</v>
      </c>
    </row>
    <row r="62" spans="1:18" x14ac:dyDescent="0.45">
      <c r="A62">
        <v>30</v>
      </c>
      <c r="B62" s="8" t="s">
        <v>3</v>
      </c>
      <c r="C62" s="1">
        <v>43840.374999479165</v>
      </c>
      <c r="D62" s="5">
        <v>60</v>
      </c>
      <c r="E62" s="34" t="s">
        <v>30</v>
      </c>
      <c r="F62" s="18">
        <v>1</v>
      </c>
      <c r="G62" s="8"/>
      <c r="H62" s="8">
        <f>ROUND((C62-C58)*24*60,0)</f>
        <v>480</v>
      </c>
      <c r="I62" s="8"/>
      <c r="J62" s="8">
        <v>100</v>
      </c>
      <c r="K62" s="8" t="s">
        <v>3</v>
      </c>
      <c r="L62" s="28" t="s">
        <v>12</v>
      </c>
      <c r="M62" s="34" t="s">
        <v>30</v>
      </c>
      <c r="N62" s="31" t="s">
        <v>30</v>
      </c>
      <c r="O62" t="b">
        <f t="shared" si="0"/>
        <v>0</v>
      </c>
      <c r="P62" s="22" t="b">
        <f t="shared" si="1"/>
        <v>1</v>
      </c>
      <c r="Q62" s="7" t="b">
        <f t="shared" si="2"/>
        <v>0</v>
      </c>
      <c r="R62" s="7" t="b">
        <f t="shared" si="3"/>
        <v>0</v>
      </c>
    </row>
    <row r="63" spans="1:18" x14ac:dyDescent="0.45">
      <c r="A63">
        <v>31</v>
      </c>
      <c r="B63" s="28" t="s">
        <v>12</v>
      </c>
      <c r="C63" s="1">
        <v>43850.041666666664</v>
      </c>
      <c r="D63" s="2">
        <v>99</v>
      </c>
      <c r="E63" s="31" t="s">
        <v>30</v>
      </c>
      <c r="G63">
        <v>1</v>
      </c>
      <c r="H63" s="8"/>
      <c r="I63" s="8"/>
      <c r="J63" s="8"/>
      <c r="K63" s="8" t="s">
        <v>3</v>
      </c>
      <c r="L63" s="28" t="s">
        <v>12</v>
      </c>
      <c r="M63" s="34" t="s">
        <v>30</v>
      </c>
      <c r="N63" s="31" t="s">
        <v>30</v>
      </c>
      <c r="O63" s="6" t="b">
        <f t="shared" ref="O63:O67" si="4">IF(B63&lt;&gt;K63,TRUE,FALSE)</f>
        <v>1</v>
      </c>
      <c r="P63" t="b">
        <f t="shared" ref="P63:P67" si="5">IF(B63&lt;&gt;L63,TRUE,FALSE)</f>
        <v>0</v>
      </c>
      <c r="Q63" s="7" t="b">
        <f t="shared" ref="Q63:Q67" si="6">IF(E63&lt;&gt;M63,TRUE,FALSE)</f>
        <v>0</v>
      </c>
      <c r="R63" s="7" t="b">
        <f t="shared" ref="R63:R67" si="7">IF(E63&lt;&gt;N63,TRUE,FALSE)</f>
        <v>0</v>
      </c>
    </row>
    <row r="64" spans="1:18" x14ac:dyDescent="0.45">
      <c r="A64">
        <v>33</v>
      </c>
      <c r="B64" s="28" t="s">
        <v>12</v>
      </c>
      <c r="C64" s="1">
        <v>43850.125</v>
      </c>
      <c r="D64" s="2">
        <v>98</v>
      </c>
      <c r="E64" s="31" t="s">
        <v>30</v>
      </c>
      <c r="F64">
        <v>1</v>
      </c>
      <c r="H64" s="8">
        <v>120</v>
      </c>
      <c r="I64" s="8"/>
      <c r="J64" s="8">
        <v>99</v>
      </c>
      <c r="K64" s="28" t="s">
        <v>12</v>
      </c>
      <c r="L64" s="28" t="s">
        <v>12</v>
      </c>
      <c r="M64" s="31" t="s">
        <v>30</v>
      </c>
      <c r="N64" s="35" t="s">
        <v>31</v>
      </c>
      <c r="O64" t="b">
        <f t="shared" si="4"/>
        <v>0</v>
      </c>
      <c r="P64" t="b">
        <f t="shared" si="5"/>
        <v>0</v>
      </c>
      <c r="Q64" s="7" t="b">
        <f t="shared" si="6"/>
        <v>0</v>
      </c>
      <c r="R64" s="19" t="b">
        <f t="shared" si="7"/>
        <v>1</v>
      </c>
    </row>
    <row r="65" spans="1:18" x14ac:dyDescent="0.45">
      <c r="A65">
        <v>34</v>
      </c>
      <c r="B65" s="28" t="s">
        <v>12</v>
      </c>
      <c r="C65" s="1">
        <v>43850.166666666664</v>
      </c>
      <c r="D65" s="26">
        <v>98</v>
      </c>
      <c r="E65" s="35" t="s">
        <v>31</v>
      </c>
      <c r="F65">
        <v>1</v>
      </c>
      <c r="G65">
        <v>1</v>
      </c>
      <c r="H65" s="30" t="s">
        <v>17</v>
      </c>
      <c r="I65" s="8">
        <v>60</v>
      </c>
      <c r="J65" s="8">
        <v>98</v>
      </c>
      <c r="K65" s="28" t="s">
        <v>12</v>
      </c>
      <c r="L65" s="28" t="s">
        <v>12</v>
      </c>
      <c r="M65" s="31" t="s">
        <v>30</v>
      </c>
      <c r="N65" s="36" t="s">
        <v>32</v>
      </c>
      <c r="O65" t="b">
        <f t="shared" si="4"/>
        <v>0</v>
      </c>
      <c r="P65" t="b">
        <f t="shared" si="5"/>
        <v>0</v>
      </c>
      <c r="Q65" s="11" t="b">
        <f t="shared" si="6"/>
        <v>1</v>
      </c>
      <c r="R65" s="19" t="b">
        <f t="shared" si="7"/>
        <v>1</v>
      </c>
    </row>
    <row r="66" spans="1:18" x14ac:dyDescent="0.45">
      <c r="A66">
        <v>35</v>
      </c>
      <c r="B66" s="28" t="s">
        <v>12</v>
      </c>
      <c r="C66" s="1">
        <v>43850.208333333336</v>
      </c>
      <c r="D66" s="27">
        <v>100</v>
      </c>
      <c r="E66" s="36" t="s">
        <v>32</v>
      </c>
      <c r="G66">
        <v>1</v>
      </c>
      <c r="H66" s="8"/>
      <c r="I66" s="8">
        <v>60</v>
      </c>
      <c r="J66" s="8"/>
      <c r="K66" s="28" t="s">
        <v>12</v>
      </c>
      <c r="L66" s="28" t="s">
        <v>12</v>
      </c>
      <c r="M66" s="35" t="s">
        <v>31</v>
      </c>
      <c r="N66" s="36" t="s">
        <v>32</v>
      </c>
      <c r="O66" t="b">
        <f t="shared" si="4"/>
        <v>0</v>
      </c>
      <c r="P66" t="b">
        <f t="shared" si="5"/>
        <v>0</v>
      </c>
      <c r="Q66" s="11" t="b">
        <f t="shared" si="6"/>
        <v>1</v>
      </c>
      <c r="R66" s="7" t="b">
        <f t="shared" si="7"/>
        <v>0</v>
      </c>
    </row>
    <row r="67" spans="1:18" x14ac:dyDescent="0.45">
      <c r="A67">
        <v>37</v>
      </c>
      <c r="B67" s="28" t="s">
        <v>12</v>
      </c>
      <c r="C67" s="1">
        <v>43850.291666666664</v>
      </c>
      <c r="D67" s="27">
        <v>70</v>
      </c>
      <c r="E67" s="36" t="s">
        <v>32</v>
      </c>
      <c r="F67">
        <v>1</v>
      </c>
      <c r="H67" s="8">
        <v>120</v>
      </c>
      <c r="I67" s="8"/>
      <c r="J67" s="8">
        <v>100</v>
      </c>
      <c r="K67" s="28" t="s">
        <v>12</v>
      </c>
      <c r="L67" s="8"/>
      <c r="M67" s="36" t="s">
        <v>32</v>
      </c>
      <c r="N67" s="8"/>
      <c r="O67" t="b">
        <f t="shared" si="4"/>
        <v>0</v>
      </c>
      <c r="P67" s="22" t="b">
        <f t="shared" si="5"/>
        <v>1</v>
      </c>
      <c r="Q67" s="7" t="b">
        <f t="shared" si="6"/>
        <v>0</v>
      </c>
      <c r="R67" s="19" t="b">
        <f t="shared" si="7"/>
        <v>1</v>
      </c>
    </row>
    <row r="69" spans="1:18" x14ac:dyDescent="0.45">
      <c r="A69" s="15" t="s">
        <v>33</v>
      </c>
    </row>
    <row r="71" spans="1:18" x14ac:dyDescent="0.45">
      <c r="A71" t="s">
        <v>0</v>
      </c>
      <c r="B71" t="s">
        <v>14</v>
      </c>
      <c r="C71" t="s">
        <v>1</v>
      </c>
      <c r="D71" t="s">
        <v>15</v>
      </c>
      <c r="E71" s="8" t="s">
        <v>16</v>
      </c>
      <c r="F71" s="8" t="s">
        <v>18</v>
      </c>
      <c r="G71" s="8" t="s">
        <v>19</v>
      </c>
      <c r="H71" s="8" t="s">
        <v>8</v>
      </c>
      <c r="I71" s="8" t="s">
        <v>9</v>
      </c>
      <c r="J71" s="8" t="s">
        <v>21</v>
      </c>
      <c r="K71" s="8" t="s">
        <v>4</v>
      </c>
      <c r="L71" s="8" t="s">
        <v>5</v>
      </c>
      <c r="M71" t="s">
        <v>23</v>
      </c>
      <c r="N71" t="s">
        <v>24</v>
      </c>
      <c r="O71" s="16" t="s">
        <v>6</v>
      </c>
      <c r="P71" s="16" t="s">
        <v>7</v>
      </c>
      <c r="Q71" s="17" t="s">
        <v>25</v>
      </c>
      <c r="R71" s="17" t="s">
        <v>26</v>
      </c>
    </row>
    <row r="72" spans="1:18" ht="14.65" thickBot="1" x14ac:dyDescent="0.5">
      <c r="A72">
        <v>1</v>
      </c>
      <c r="B72" s="9" t="s">
        <v>2</v>
      </c>
      <c r="C72" s="1">
        <v>43831.041666666664</v>
      </c>
      <c r="D72" s="2">
        <v>100</v>
      </c>
      <c r="E72" s="31" t="s">
        <v>28</v>
      </c>
      <c r="F72" s="8"/>
      <c r="G72" s="10">
        <v>1</v>
      </c>
      <c r="H72" s="8"/>
      <c r="I72" s="23" t="s">
        <v>10</v>
      </c>
      <c r="J72" s="8"/>
      <c r="K72" s="8"/>
      <c r="L72" s="9" t="s">
        <v>2</v>
      </c>
      <c r="N72" s="2" t="s">
        <v>28</v>
      </c>
      <c r="O72" s="24" t="b">
        <f t="shared" ref="O72:O80" si="8">IF(B72&lt;&gt;K72,TRUE,FALSE)</f>
        <v>1</v>
      </c>
      <c r="P72" s="7" t="b">
        <f t="shared" ref="P72:P80" si="9">IF(B72&lt;&gt;L72,TRUE,FALSE)</f>
        <v>0</v>
      </c>
      <c r="Q72" s="11" t="b">
        <f t="shared" ref="Q72:Q80" si="10">IF(E72&lt;&gt;M72,TRUE,FALSE)</f>
        <v>1</v>
      </c>
      <c r="R72" s="7" t="b">
        <f t="shared" ref="R72:R80" si="11">IF(E72&lt;&gt;N72,TRUE,FALSE)</f>
        <v>0</v>
      </c>
    </row>
    <row r="73" spans="1:18" ht="14.65" thickBot="1" x14ac:dyDescent="0.5">
      <c r="A73">
        <v>8</v>
      </c>
      <c r="B73" s="9" t="s">
        <v>2</v>
      </c>
      <c r="C73" s="1">
        <v>43831.333332870374</v>
      </c>
      <c r="D73" s="2">
        <v>0</v>
      </c>
      <c r="E73" s="31" t="s">
        <v>28</v>
      </c>
      <c r="F73" s="20">
        <v>1</v>
      </c>
      <c r="G73" s="8"/>
      <c r="H73" s="8">
        <f>ROUND((C73-C72)*24*60,0)</f>
        <v>420</v>
      </c>
      <c r="I73" s="8"/>
      <c r="J73" s="8">
        <v>100</v>
      </c>
      <c r="K73" s="9" t="s">
        <v>2</v>
      </c>
      <c r="L73" s="9" t="s">
        <v>2</v>
      </c>
      <c r="M73" s="2" t="s">
        <v>28</v>
      </c>
      <c r="N73" s="3" t="s">
        <v>29</v>
      </c>
      <c r="O73" t="b">
        <f t="shared" si="8"/>
        <v>0</v>
      </c>
      <c r="P73" s="7" t="b">
        <f t="shared" si="9"/>
        <v>0</v>
      </c>
      <c r="Q73" s="7" t="b">
        <f t="shared" si="10"/>
        <v>0</v>
      </c>
      <c r="R73" s="19" t="b">
        <f t="shared" si="11"/>
        <v>1</v>
      </c>
    </row>
    <row r="74" spans="1:18" ht="14.65" thickBot="1" x14ac:dyDescent="0.5">
      <c r="A74">
        <v>9</v>
      </c>
      <c r="B74" s="9" t="s">
        <v>2</v>
      </c>
      <c r="C74" s="1">
        <v>43831.374999479165</v>
      </c>
      <c r="D74" s="3">
        <v>98</v>
      </c>
      <c r="E74" s="32" t="s">
        <v>29</v>
      </c>
      <c r="F74" s="8"/>
      <c r="G74" s="13">
        <v>1</v>
      </c>
      <c r="H74" s="8"/>
      <c r="I74" s="8">
        <f>ROUND((C74-C73)*24*60,0)</f>
        <v>60</v>
      </c>
      <c r="J74" s="8"/>
      <c r="K74" s="9" t="s">
        <v>2</v>
      </c>
      <c r="L74" s="9" t="s">
        <v>2</v>
      </c>
      <c r="M74" s="2" t="s">
        <v>28</v>
      </c>
      <c r="N74" s="3" t="s">
        <v>29</v>
      </c>
      <c r="O74" t="b">
        <f t="shared" si="8"/>
        <v>0</v>
      </c>
      <c r="P74" s="7" t="b">
        <f t="shared" si="9"/>
        <v>0</v>
      </c>
      <c r="Q74" s="11" t="b">
        <f t="shared" si="10"/>
        <v>1</v>
      </c>
      <c r="R74" s="7" t="b">
        <f t="shared" si="11"/>
        <v>0</v>
      </c>
    </row>
    <row r="75" spans="1:18" x14ac:dyDescent="0.45">
      <c r="A75">
        <v>13</v>
      </c>
      <c r="B75" s="9" t="s">
        <v>2</v>
      </c>
      <c r="C75" s="1">
        <v>43831.541665914352</v>
      </c>
      <c r="D75" s="3">
        <v>80</v>
      </c>
      <c r="E75" s="32" t="s">
        <v>29</v>
      </c>
      <c r="F75" s="18">
        <v>1</v>
      </c>
      <c r="G75" s="8"/>
      <c r="H75" s="8">
        <f>ROUND((C75-C74)*24*60,0)</f>
        <v>240</v>
      </c>
      <c r="I75" s="8"/>
      <c r="J75" s="8">
        <v>98</v>
      </c>
      <c r="K75" s="9" t="s">
        <v>2</v>
      </c>
      <c r="L75" s="9" t="s">
        <v>2</v>
      </c>
      <c r="M75" s="3" t="s">
        <v>29</v>
      </c>
      <c r="N75" s="4" t="s">
        <v>30</v>
      </c>
      <c r="O75" t="b">
        <f t="shared" si="8"/>
        <v>0</v>
      </c>
      <c r="P75" s="7" t="b">
        <f t="shared" si="9"/>
        <v>0</v>
      </c>
      <c r="Q75" s="7" t="b">
        <f t="shared" si="10"/>
        <v>0</v>
      </c>
      <c r="R75" s="19" t="b">
        <f t="shared" si="11"/>
        <v>1</v>
      </c>
    </row>
    <row r="76" spans="1:18" x14ac:dyDescent="0.45">
      <c r="A76">
        <v>15</v>
      </c>
      <c r="B76" s="9" t="s">
        <v>2</v>
      </c>
      <c r="C76" s="1">
        <v>43831.624999131942</v>
      </c>
      <c r="D76" s="4">
        <v>100</v>
      </c>
      <c r="E76" s="33" t="s">
        <v>30</v>
      </c>
      <c r="F76" s="8"/>
      <c r="G76" s="10">
        <v>1</v>
      </c>
      <c r="H76" s="8"/>
      <c r="I76" s="8">
        <f>ROUND((C76-C75)*24*60,0)</f>
        <v>120</v>
      </c>
      <c r="J76" s="8"/>
      <c r="K76" s="9" t="s">
        <v>2</v>
      </c>
      <c r="L76" s="9" t="s">
        <v>2</v>
      </c>
      <c r="M76" s="3" t="s">
        <v>29</v>
      </c>
      <c r="N76" s="4" t="s">
        <v>30</v>
      </c>
      <c r="O76" t="b">
        <f t="shared" si="8"/>
        <v>0</v>
      </c>
      <c r="P76" s="7" t="b">
        <f t="shared" si="9"/>
        <v>0</v>
      </c>
      <c r="Q76" s="11" t="b">
        <f t="shared" si="10"/>
        <v>1</v>
      </c>
      <c r="R76" s="7" t="b">
        <f t="shared" si="11"/>
        <v>0</v>
      </c>
    </row>
    <row r="77" spans="1:18" x14ac:dyDescent="0.45">
      <c r="A77">
        <v>19</v>
      </c>
      <c r="B77" s="9" t="s">
        <v>2</v>
      </c>
      <c r="C77" s="1">
        <v>43831.791665567129</v>
      </c>
      <c r="D77" s="4">
        <v>98</v>
      </c>
      <c r="E77" s="33" t="s">
        <v>30</v>
      </c>
      <c r="F77" s="21">
        <v>1</v>
      </c>
      <c r="G77" s="8"/>
      <c r="H77" s="8">
        <f>ROUND((C77-C76)*24*60,0)</f>
        <v>240</v>
      </c>
      <c r="I77" s="8"/>
      <c r="J77" s="8">
        <v>100</v>
      </c>
      <c r="K77" s="9" t="s">
        <v>2</v>
      </c>
      <c r="L77" s="8" t="s">
        <v>3</v>
      </c>
      <c r="M77" s="4" t="s">
        <v>30</v>
      </c>
      <c r="N77" s="5" t="s">
        <v>30</v>
      </c>
      <c r="O77" t="b">
        <f t="shared" si="8"/>
        <v>0</v>
      </c>
      <c r="P77" s="22" t="b">
        <f t="shared" si="9"/>
        <v>1</v>
      </c>
      <c r="Q77" s="7" t="b">
        <f t="shared" si="10"/>
        <v>0</v>
      </c>
      <c r="R77" s="7" t="b">
        <f t="shared" si="11"/>
        <v>0</v>
      </c>
    </row>
    <row r="78" spans="1:18" ht="14.65" thickBot="1" x14ac:dyDescent="0.5">
      <c r="A78">
        <v>21</v>
      </c>
      <c r="B78" s="8" t="s">
        <v>3</v>
      </c>
      <c r="C78" s="1">
        <v>43840</v>
      </c>
      <c r="D78" s="5">
        <v>0</v>
      </c>
      <c r="E78" s="34" t="s">
        <v>30</v>
      </c>
      <c r="F78" s="23" t="s">
        <v>10</v>
      </c>
      <c r="G78" s="8"/>
      <c r="H78" s="23" t="s">
        <v>10</v>
      </c>
      <c r="I78" s="8"/>
      <c r="J78" s="8"/>
      <c r="K78" s="9" t="s">
        <v>2</v>
      </c>
      <c r="L78" s="8" t="s">
        <v>3</v>
      </c>
      <c r="M78" s="4" t="s">
        <v>30</v>
      </c>
      <c r="N78" s="5" t="s">
        <v>30</v>
      </c>
      <c r="O78" s="24" t="b">
        <f t="shared" si="8"/>
        <v>1</v>
      </c>
      <c r="P78" s="7" t="b">
        <f t="shared" si="9"/>
        <v>0</v>
      </c>
      <c r="Q78" s="7" t="b">
        <f t="shared" si="10"/>
        <v>0</v>
      </c>
      <c r="R78" s="7" t="b">
        <f t="shared" si="11"/>
        <v>0</v>
      </c>
    </row>
    <row r="79" spans="1:18" ht="14.65" thickBot="1" x14ac:dyDescent="0.5">
      <c r="A79">
        <v>22</v>
      </c>
      <c r="B79" s="8" t="s">
        <v>3</v>
      </c>
      <c r="C79" s="1">
        <v>43840.041666666664</v>
      </c>
      <c r="D79" s="5">
        <v>100</v>
      </c>
      <c r="E79" s="34" t="s">
        <v>30</v>
      </c>
      <c r="F79" s="8"/>
      <c r="G79" s="12">
        <v>1</v>
      </c>
      <c r="H79" s="8"/>
      <c r="I79" s="8">
        <f>ROUND((C79-C78)*24*60,0)</f>
        <v>60</v>
      </c>
      <c r="J79" s="25"/>
      <c r="K79" s="8" t="s">
        <v>3</v>
      </c>
      <c r="L79" s="8" t="s">
        <v>3</v>
      </c>
      <c r="M79" s="5" t="s">
        <v>30</v>
      </c>
      <c r="N79" s="5" t="s">
        <v>30</v>
      </c>
      <c r="O79" t="b">
        <f t="shared" si="8"/>
        <v>0</v>
      </c>
      <c r="P79" s="7" t="b">
        <f t="shared" si="9"/>
        <v>0</v>
      </c>
      <c r="Q79" s="7" t="b">
        <f t="shared" si="10"/>
        <v>0</v>
      </c>
      <c r="R79" s="7" t="b">
        <f t="shared" si="11"/>
        <v>0</v>
      </c>
    </row>
    <row r="80" spans="1:18" x14ac:dyDescent="0.45">
      <c r="A80">
        <v>30</v>
      </c>
      <c r="B80" s="8" t="s">
        <v>3</v>
      </c>
      <c r="C80" s="1">
        <v>43840.374999479165</v>
      </c>
      <c r="D80" s="5">
        <v>60</v>
      </c>
      <c r="E80" s="34" t="s">
        <v>30</v>
      </c>
      <c r="F80" s="18">
        <v>1</v>
      </c>
      <c r="G80" s="8"/>
      <c r="H80" s="8">
        <f>ROUND((C80-C79)*24*60,0)</f>
        <v>480</v>
      </c>
      <c r="I80" s="8"/>
      <c r="J80" s="8">
        <v>100</v>
      </c>
      <c r="K80" s="8" t="s">
        <v>3</v>
      </c>
      <c r="L80" s="8"/>
      <c r="M80" s="5" t="s">
        <v>30</v>
      </c>
      <c r="O80" t="b">
        <f t="shared" si="8"/>
        <v>0</v>
      </c>
      <c r="P80" s="22" t="b">
        <f t="shared" si="9"/>
        <v>1</v>
      </c>
      <c r="Q80" s="7" t="b">
        <f t="shared" si="10"/>
        <v>0</v>
      </c>
      <c r="R80" s="19" t="b">
        <f t="shared" si="11"/>
        <v>1</v>
      </c>
    </row>
    <row r="81" spans="1:18" x14ac:dyDescent="0.45">
      <c r="A81">
        <v>31</v>
      </c>
      <c r="B81" s="28" t="s">
        <v>12</v>
      </c>
      <c r="C81" s="1">
        <v>43850.041666666664</v>
      </c>
      <c r="D81" s="2">
        <v>99</v>
      </c>
      <c r="E81" s="31" t="s">
        <v>30</v>
      </c>
      <c r="G81" s="10">
        <v>1</v>
      </c>
      <c r="H81" s="8"/>
      <c r="I81" s="8"/>
      <c r="J81" s="8"/>
      <c r="K81" s="8" t="s">
        <v>3</v>
      </c>
      <c r="L81" s="28" t="s">
        <v>12</v>
      </c>
      <c r="M81" s="34" t="s">
        <v>30</v>
      </c>
      <c r="N81" s="31" t="s">
        <v>30</v>
      </c>
      <c r="O81" s="24" t="b">
        <f t="shared" ref="O81:O85" si="12">IF(B81&lt;&gt;K81,TRUE,FALSE)</f>
        <v>1</v>
      </c>
      <c r="P81" t="b">
        <f t="shared" ref="P81:P85" si="13">IF(B81&lt;&gt;L81,TRUE,FALSE)</f>
        <v>0</v>
      </c>
      <c r="Q81" s="7" t="b">
        <f t="shared" ref="Q81:Q85" si="14">IF(E81&lt;&gt;M81,TRUE,FALSE)</f>
        <v>0</v>
      </c>
      <c r="R81" s="7" t="b">
        <f t="shared" ref="R81:R85" si="15">IF(E81&lt;&gt;N81,TRUE,FALSE)</f>
        <v>0</v>
      </c>
    </row>
    <row r="82" spans="1:18" x14ac:dyDescent="0.45">
      <c r="A82">
        <v>33</v>
      </c>
      <c r="B82" s="28" t="s">
        <v>12</v>
      </c>
      <c r="C82" s="1">
        <v>43850.125</v>
      </c>
      <c r="D82" s="2">
        <v>98</v>
      </c>
      <c r="E82" s="31" t="s">
        <v>30</v>
      </c>
      <c r="F82" s="18">
        <v>1</v>
      </c>
      <c r="H82" s="8">
        <v>120</v>
      </c>
      <c r="I82" s="8"/>
      <c r="J82" s="8">
        <v>99</v>
      </c>
      <c r="K82" s="28" t="s">
        <v>12</v>
      </c>
      <c r="L82" s="28" t="s">
        <v>12</v>
      </c>
      <c r="M82" s="31" t="s">
        <v>30</v>
      </c>
      <c r="N82" s="35" t="s">
        <v>31</v>
      </c>
      <c r="O82" t="b">
        <f t="shared" si="12"/>
        <v>0</v>
      </c>
      <c r="P82" t="b">
        <f t="shared" si="13"/>
        <v>0</v>
      </c>
      <c r="Q82" s="7" t="b">
        <f t="shared" si="14"/>
        <v>0</v>
      </c>
      <c r="R82" s="19" t="b">
        <f t="shared" si="15"/>
        <v>1</v>
      </c>
    </row>
    <row r="83" spans="1:18" x14ac:dyDescent="0.45">
      <c r="A83">
        <v>34</v>
      </c>
      <c r="B83" s="28" t="s">
        <v>12</v>
      </c>
      <c r="C83" s="1">
        <v>43850.166666666664</v>
      </c>
      <c r="D83" s="26">
        <v>98</v>
      </c>
      <c r="E83" s="35" t="s">
        <v>31</v>
      </c>
      <c r="F83" s="18">
        <v>1</v>
      </c>
      <c r="G83" s="10">
        <v>1</v>
      </c>
      <c r="H83" s="39">
        <v>60</v>
      </c>
      <c r="I83" s="8">
        <v>60</v>
      </c>
      <c r="J83" s="8"/>
      <c r="K83" s="28" t="s">
        <v>12</v>
      </c>
      <c r="L83" s="28" t="s">
        <v>12</v>
      </c>
      <c r="M83" s="31" t="s">
        <v>30</v>
      </c>
      <c r="N83" s="36" t="s">
        <v>32</v>
      </c>
      <c r="O83" t="b">
        <f t="shared" si="12"/>
        <v>0</v>
      </c>
      <c r="P83" t="b">
        <f t="shared" si="13"/>
        <v>0</v>
      </c>
      <c r="Q83" s="11" t="b">
        <f t="shared" si="14"/>
        <v>1</v>
      </c>
      <c r="R83" s="19" t="b">
        <f t="shared" si="15"/>
        <v>1</v>
      </c>
    </row>
    <row r="84" spans="1:18" x14ac:dyDescent="0.45">
      <c r="A84">
        <v>35</v>
      </c>
      <c r="B84" s="28" t="s">
        <v>12</v>
      </c>
      <c r="C84" s="1">
        <v>43850.208333333336</v>
      </c>
      <c r="D84" s="27">
        <v>100</v>
      </c>
      <c r="E84" s="36" t="s">
        <v>32</v>
      </c>
      <c r="G84" s="10">
        <v>1</v>
      </c>
      <c r="H84" s="8"/>
      <c r="I84" s="8">
        <v>60</v>
      </c>
      <c r="J84" s="8"/>
      <c r="K84" s="28" t="s">
        <v>12</v>
      </c>
      <c r="L84" s="28" t="s">
        <v>12</v>
      </c>
      <c r="M84" s="35" t="s">
        <v>31</v>
      </c>
      <c r="N84" s="36" t="s">
        <v>32</v>
      </c>
      <c r="O84" t="b">
        <f t="shared" si="12"/>
        <v>0</v>
      </c>
      <c r="P84" t="b">
        <f t="shared" si="13"/>
        <v>0</v>
      </c>
      <c r="Q84" s="11" t="b">
        <f t="shared" si="14"/>
        <v>1</v>
      </c>
      <c r="R84" s="7" t="b">
        <f t="shared" si="15"/>
        <v>0</v>
      </c>
    </row>
    <row r="85" spans="1:18" x14ac:dyDescent="0.45">
      <c r="A85">
        <v>37</v>
      </c>
      <c r="B85" s="28" t="s">
        <v>12</v>
      </c>
      <c r="C85" s="1">
        <v>43850.291666666664</v>
      </c>
      <c r="D85" s="27">
        <v>70</v>
      </c>
      <c r="E85" s="36" t="s">
        <v>32</v>
      </c>
      <c r="F85" s="18">
        <v>1</v>
      </c>
      <c r="H85" s="8">
        <v>120</v>
      </c>
      <c r="I85" s="8"/>
      <c r="J85" s="8">
        <v>100</v>
      </c>
      <c r="K85" s="28" t="s">
        <v>12</v>
      </c>
      <c r="L85" s="8"/>
      <c r="M85" s="36" t="s">
        <v>32</v>
      </c>
      <c r="N85" s="8"/>
      <c r="O85" t="b">
        <f t="shared" si="12"/>
        <v>0</v>
      </c>
      <c r="P85" s="22" t="b">
        <f t="shared" si="13"/>
        <v>1</v>
      </c>
      <c r="Q85" s="7" t="b">
        <f t="shared" si="14"/>
        <v>0</v>
      </c>
      <c r="R85" s="19" t="b">
        <f t="shared" si="15"/>
        <v>1</v>
      </c>
    </row>
    <row r="88" spans="1:18" x14ac:dyDescent="0.45">
      <c r="F88" t="s">
        <v>34</v>
      </c>
    </row>
    <row r="89" spans="1:18" x14ac:dyDescent="0.45">
      <c r="F89" t="s">
        <v>22</v>
      </c>
    </row>
    <row r="91" spans="1:18" x14ac:dyDescent="0.45">
      <c r="E91" s="45" t="s">
        <v>35</v>
      </c>
    </row>
  </sheetData>
  <pageMargins left="0.7" right="0.7" top="0.75" bottom="0.75" header="0.3" footer="0.3"/>
  <pageSetup paperSize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0AFDE-9124-4CD1-89F6-C221DDC5945B}">
  <dimension ref="A1:J58"/>
  <sheetViews>
    <sheetView topLeftCell="A37" workbookViewId="0">
      <selection activeCell="B60" sqref="B60"/>
    </sheetView>
  </sheetViews>
  <sheetFormatPr defaultRowHeight="14.25" x14ac:dyDescent="0.45"/>
  <cols>
    <col min="1" max="1" width="5" style="37" bestFit="1" customWidth="1"/>
    <col min="2" max="5" width="16.46484375" style="37" customWidth="1"/>
    <col min="6" max="10" width="15.19921875" customWidth="1"/>
  </cols>
  <sheetData>
    <row r="1" spans="1:5" x14ac:dyDescent="0.45">
      <c r="A1" s="37" t="s">
        <v>0</v>
      </c>
      <c r="B1" s="37" t="s">
        <v>14</v>
      </c>
      <c r="C1" s="37" t="s">
        <v>1</v>
      </c>
      <c r="D1" s="37" t="s">
        <v>15</v>
      </c>
      <c r="E1" s="29" t="s">
        <v>16</v>
      </c>
    </row>
    <row r="2" spans="1:5" x14ac:dyDescent="0.45">
      <c r="A2" s="37">
        <v>0</v>
      </c>
      <c r="B2" s="29" t="s">
        <v>2</v>
      </c>
      <c r="C2" s="38">
        <v>43831</v>
      </c>
      <c r="E2" s="29" t="s">
        <v>28</v>
      </c>
    </row>
    <row r="3" spans="1:5" x14ac:dyDescent="0.45">
      <c r="A3" s="37">
        <v>1</v>
      </c>
      <c r="B3" s="29" t="s">
        <v>2</v>
      </c>
      <c r="C3" s="38">
        <v>43831.041666666664</v>
      </c>
      <c r="D3" s="37">
        <v>100</v>
      </c>
      <c r="E3" s="29" t="s">
        <v>28</v>
      </c>
    </row>
    <row r="4" spans="1:5" x14ac:dyDescent="0.45">
      <c r="A4" s="37">
        <v>2</v>
      </c>
      <c r="B4" s="29" t="s">
        <v>2</v>
      </c>
      <c r="C4" s="38">
        <v>43831.08333321759</v>
      </c>
      <c r="D4" s="37">
        <v>90</v>
      </c>
      <c r="E4" s="29" t="s">
        <v>28</v>
      </c>
    </row>
    <row r="5" spans="1:5" x14ac:dyDescent="0.45">
      <c r="A5" s="37">
        <v>3</v>
      </c>
      <c r="B5" s="29" t="s">
        <v>2</v>
      </c>
      <c r="C5" s="38">
        <v>43831.124999826388</v>
      </c>
      <c r="E5" s="29"/>
    </row>
    <row r="6" spans="1:5" x14ac:dyDescent="0.45">
      <c r="A6" s="37">
        <v>4</v>
      </c>
      <c r="B6" s="29" t="s">
        <v>2</v>
      </c>
      <c r="C6" s="38">
        <v>43831.166666435187</v>
      </c>
      <c r="D6" s="37">
        <v>80</v>
      </c>
      <c r="E6" s="29" t="s">
        <v>28</v>
      </c>
    </row>
    <row r="7" spans="1:5" x14ac:dyDescent="0.45">
      <c r="A7" s="37">
        <v>5</v>
      </c>
      <c r="B7" s="29" t="s">
        <v>2</v>
      </c>
      <c r="C7" s="38">
        <v>43831.208333043978</v>
      </c>
      <c r="E7" s="29"/>
    </row>
    <row r="8" spans="1:5" x14ac:dyDescent="0.45">
      <c r="A8" s="37">
        <v>6</v>
      </c>
      <c r="B8" s="29" t="s">
        <v>2</v>
      </c>
      <c r="C8" s="38">
        <v>43831.249999652777</v>
      </c>
      <c r="D8" s="37">
        <v>20</v>
      </c>
      <c r="E8" s="29" t="s">
        <v>28</v>
      </c>
    </row>
    <row r="9" spans="1:5" x14ac:dyDescent="0.45">
      <c r="A9" s="37">
        <v>7</v>
      </c>
      <c r="B9" s="29" t="s">
        <v>2</v>
      </c>
      <c r="C9" s="38">
        <v>43831.291666261575</v>
      </c>
      <c r="E9" s="29"/>
    </row>
    <row r="10" spans="1:5" x14ac:dyDescent="0.45">
      <c r="A10" s="37">
        <v>8</v>
      </c>
      <c r="B10" s="29" t="s">
        <v>2</v>
      </c>
      <c r="C10" s="38">
        <v>43831.333332870374</v>
      </c>
      <c r="D10" s="37">
        <v>0</v>
      </c>
      <c r="E10" s="29" t="s">
        <v>28</v>
      </c>
    </row>
    <row r="11" spans="1:5" x14ac:dyDescent="0.45">
      <c r="A11" s="37">
        <v>9</v>
      </c>
      <c r="B11" s="29" t="s">
        <v>2</v>
      </c>
      <c r="C11" s="38">
        <v>43831.374999479165</v>
      </c>
      <c r="D11" s="37">
        <v>98</v>
      </c>
      <c r="E11" s="29" t="s">
        <v>29</v>
      </c>
    </row>
    <row r="12" spans="1:5" x14ac:dyDescent="0.45">
      <c r="A12" s="37">
        <v>10</v>
      </c>
      <c r="B12" s="29" t="s">
        <v>2</v>
      </c>
      <c r="C12" s="38">
        <v>43831.416666087964</v>
      </c>
      <c r="E12" s="29"/>
    </row>
    <row r="13" spans="1:5" x14ac:dyDescent="0.45">
      <c r="A13" s="37">
        <v>11</v>
      </c>
      <c r="B13" s="29" t="s">
        <v>2</v>
      </c>
      <c r="C13" s="38">
        <v>43831.458332696762</v>
      </c>
      <c r="D13" s="37">
        <v>90</v>
      </c>
      <c r="E13" s="29" t="s">
        <v>29</v>
      </c>
    </row>
    <row r="14" spans="1:5" x14ac:dyDescent="0.45">
      <c r="A14" s="37">
        <v>12</v>
      </c>
      <c r="B14" s="29" t="s">
        <v>2</v>
      </c>
      <c r="C14" s="38">
        <v>43831.499999305554</v>
      </c>
      <c r="E14" s="29"/>
    </row>
    <row r="15" spans="1:5" x14ac:dyDescent="0.45">
      <c r="A15" s="37">
        <v>13</v>
      </c>
      <c r="B15" s="29" t="s">
        <v>2</v>
      </c>
      <c r="C15" s="38">
        <v>43831.541665914352</v>
      </c>
      <c r="D15" s="37">
        <v>80</v>
      </c>
      <c r="E15" s="29" t="s">
        <v>29</v>
      </c>
    </row>
    <row r="16" spans="1:5" x14ac:dyDescent="0.45">
      <c r="A16" s="37">
        <v>14</v>
      </c>
      <c r="B16" s="29" t="s">
        <v>2</v>
      </c>
      <c r="C16" s="38">
        <v>43831.583332523151</v>
      </c>
      <c r="E16" s="29"/>
    </row>
    <row r="17" spans="1:5" x14ac:dyDescent="0.45">
      <c r="A17" s="37">
        <v>15</v>
      </c>
      <c r="B17" s="29" t="s">
        <v>2</v>
      </c>
      <c r="C17" s="38">
        <v>43831.624999131942</v>
      </c>
      <c r="D17" s="37">
        <v>100</v>
      </c>
      <c r="E17" s="29" t="s">
        <v>30</v>
      </c>
    </row>
    <row r="18" spans="1:5" x14ac:dyDescent="0.45">
      <c r="A18" s="37">
        <v>16</v>
      </c>
      <c r="B18" s="29" t="s">
        <v>2</v>
      </c>
      <c r="C18" s="38">
        <v>43831.66666574074</v>
      </c>
      <c r="E18" s="29"/>
    </row>
    <row r="19" spans="1:5" x14ac:dyDescent="0.45">
      <c r="A19" s="37">
        <v>17</v>
      </c>
      <c r="B19" s="29" t="s">
        <v>2</v>
      </c>
      <c r="C19" s="38">
        <v>43831.708332349539</v>
      </c>
      <c r="D19" s="37">
        <v>99</v>
      </c>
      <c r="E19" s="29" t="s">
        <v>30</v>
      </c>
    </row>
    <row r="20" spans="1:5" x14ac:dyDescent="0.45">
      <c r="A20" s="37">
        <v>18</v>
      </c>
      <c r="B20" s="29" t="s">
        <v>2</v>
      </c>
      <c r="C20" s="38">
        <v>43831.74999895833</v>
      </c>
      <c r="E20" s="29"/>
    </row>
    <row r="21" spans="1:5" x14ac:dyDescent="0.45">
      <c r="A21" s="37">
        <v>19</v>
      </c>
      <c r="B21" s="29" t="s">
        <v>2</v>
      </c>
      <c r="C21" s="38">
        <v>43831.791665567129</v>
      </c>
      <c r="D21" s="37">
        <v>98</v>
      </c>
      <c r="E21" s="29" t="s">
        <v>30</v>
      </c>
    </row>
    <row r="22" spans="1:5" x14ac:dyDescent="0.45">
      <c r="A22" s="37">
        <v>20</v>
      </c>
      <c r="B22" s="29" t="s">
        <v>2</v>
      </c>
      <c r="C22" s="38">
        <v>43831.833332175927</v>
      </c>
      <c r="E22" s="29"/>
    </row>
    <row r="23" spans="1:5" x14ac:dyDescent="0.45">
      <c r="A23" s="37">
        <v>21</v>
      </c>
      <c r="B23" s="29" t="s">
        <v>3</v>
      </c>
      <c r="C23" s="38">
        <v>43840</v>
      </c>
      <c r="D23" s="37">
        <v>0</v>
      </c>
      <c r="E23" s="29" t="s">
        <v>30</v>
      </c>
    </row>
    <row r="24" spans="1:5" x14ac:dyDescent="0.45">
      <c r="A24" s="37">
        <v>22</v>
      </c>
      <c r="B24" s="29" t="s">
        <v>3</v>
      </c>
      <c r="C24" s="38">
        <v>43840.041666666664</v>
      </c>
      <c r="D24" s="37">
        <v>100</v>
      </c>
      <c r="E24" s="29" t="s">
        <v>30</v>
      </c>
    </row>
    <row r="25" spans="1:5" x14ac:dyDescent="0.45">
      <c r="A25" s="37">
        <v>23</v>
      </c>
      <c r="B25" s="29" t="s">
        <v>3</v>
      </c>
      <c r="C25" s="38">
        <v>43840.08333321759</v>
      </c>
      <c r="E25" s="29"/>
    </row>
    <row r="26" spans="1:5" x14ac:dyDescent="0.45">
      <c r="A26" s="37">
        <v>24</v>
      </c>
      <c r="B26" s="29" t="s">
        <v>3</v>
      </c>
      <c r="C26" s="38">
        <v>43840.124999826388</v>
      </c>
      <c r="D26" s="37">
        <v>90</v>
      </c>
      <c r="E26" s="29" t="s">
        <v>30</v>
      </c>
    </row>
    <row r="27" spans="1:5" x14ac:dyDescent="0.45">
      <c r="A27" s="37">
        <v>25</v>
      </c>
      <c r="B27" s="29" t="s">
        <v>3</v>
      </c>
      <c r="C27" s="38">
        <v>43840.166666435187</v>
      </c>
      <c r="E27" s="29"/>
    </row>
    <row r="28" spans="1:5" x14ac:dyDescent="0.45">
      <c r="A28" s="37">
        <v>26</v>
      </c>
      <c r="B28" s="29" t="s">
        <v>3</v>
      </c>
      <c r="C28" s="38">
        <v>43840.208333043978</v>
      </c>
      <c r="D28" s="37">
        <v>80</v>
      </c>
      <c r="E28" s="29" t="s">
        <v>30</v>
      </c>
    </row>
    <row r="29" spans="1:5" x14ac:dyDescent="0.45">
      <c r="A29" s="37">
        <v>27</v>
      </c>
      <c r="B29" s="29" t="s">
        <v>3</v>
      </c>
      <c r="C29" s="38">
        <v>43840.249999652777</v>
      </c>
      <c r="E29" s="29"/>
    </row>
    <row r="30" spans="1:5" x14ac:dyDescent="0.45">
      <c r="A30" s="37">
        <v>28</v>
      </c>
      <c r="B30" s="29" t="s">
        <v>3</v>
      </c>
      <c r="C30" s="38">
        <v>43840.291666261575</v>
      </c>
      <c r="D30" s="37">
        <v>70</v>
      </c>
      <c r="E30" s="29" t="s">
        <v>30</v>
      </c>
    </row>
    <row r="31" spans="1:5" x14ac:dyDescent="0.45">
      <c r="A31" s="37">
        <v>29</v>
      </c>
      <c r="B31" s="29" t="s">
        <v>3</v>
      </c>
      <c r="C31" s="38">
        <v>43840.333332870374</v>
      </c>
      <c r="E31" s="29"/>
    </row>
    <row r="32" spans="1:5" x14ac:dyDescent="0.45">
      <c r="A32" s="37">
        <v>30</v>
      </c>
      <c r="B32" s="29" t="s">
        <v>3</v>
      </c>
      <c r="C32" s="38">
        <v>43840.374999479165</v>
      </c>
      <c r="D32" s="37">
        <v>60</v>
      </c>
      <c r="E32" s="29" t="s">
        <v>30</v>
      </c>
    </row>
    <row r="33" spans="1:10" x14ac:dyDescent="0.45">
      <c r="A33" s="37">
        <v>31</v>
      </c>
      <c r="B33" s="29" t="s">
        <v>12</v>
      </c>
      <c r="C33" s="38">
        <v>43850.041666666664</v>
      </c>
      <c r="D33" s="37">
        <v>99</v>
      </c>
      <c r="E33" s="29" t="s">
        <v>30</v>
      </c>
    </row>
    <row r="34" spans="1:10" x14ac:dyDescent="0.45">
      <c r="A34" s="37">
        <v>32</v>
      </c>
      <c r="B34" s="29" t="s">
        <v>12</v>
      </c>
      <c r="C34" s="38">
        <v>43850.083333333336</v>
      </c>
      <c r="E34" s="29"/>
    </row>
    <row r="35" spans="1:10" x14ac:dyDescent="0.45">
      <c r="A35" s="37">
        <v>33</v>
      </c>
      <c r="B35" s="29" t="s">
        <v>12</v>
      </c>
      <c r="C35" s="38">
        <v>43850.125</v>
      </c>
      <c r="D35" s="37">
        <v>98</v>
      </c>
      <c r="E35" s="29" t="s">
        <v>30</v>
      </c>
    </row>
    <row r="36" spans="1:10" x14ac:dyDescent="0.45">
      <c r="A36" s="37">
        <v>34</v>
      </c>
      <c r="B36" s="29" t="s">
        <v>12</v>
      </c>
      <c r="C36" s="38">
        <v>43850.166666666664</v>
      </c>
      <c r="D36" s="37">
        <v>98</v>
      </c>
      <c r="E36" s="29" t="s">
        <v>31</v>
      </c>
    </row>
    <row r="37" spans="1:10" x14ac:dyDescent="0.45">
      <c r="A37" s="37">
        <v>35</v>
      </c>
      <c r="B37" s="29" t="s">
        <v>12</v>
      </c>
      <c r="C37" s="38">
        <v>43850.208333333336</v>
      </c>
      <c r="D37" s="37">
        <v>100</v>
      </c>
      <c r="E37" s="29" t="s">
        <v>32</v>
      </c>
    </row>
    <row r="38" spans="1:10" x14ac:dyDescent="0.45">
      <c r="A38" s="37">
        <v>36</v>
      </c>
      <c r="B38" s="29" t="s">
        <v>12</v>
      </c>
      <c r="C38" s="38">
        <v>43850.25</v>
      </c>
      <c r="E38" s="29"/>
    </row>
    <row r="39" spans="1:10" x14ac:dyDescent="0.45">
      <c r="A39" s="37">
        <v>37</v>
      </c>
      <c r="B39" s="29" t="s">
        <v>12</v>
      </c>
      <c r="C39" s="38">
        <v>43850.291666666664</v>
      </c>
      <c r="D39" s="37">
        <v>70</v>
      </c>
      <c r="E39" s="29" t="s">
        <v>32</v>
      </c>
    </row>
    <row r="40" spans="1:10" x14ac:dyDescent="0.45">
      <c r="A40" s="37">
        <v>38</v>
      </c>
      <c r="B40" s="29" t="s">
        <v>13</v>
      </c>
      <c r="C40" s="38">
        <v>43850.333333333336</v>
      </c>
      <c r="E40" s="29"/>
    </row>
    <row r="41" spans="1:10" x14ac:dyDescent="0.45">
      <c r="A41" s="37">
        <v>39</v>
      </c>
      <c r="B41" s="29" t="s">
        <v>13</v>
      </c>
      <c r="C41" s="38">
        <v>43850.375</v>
      </c>
      <c r="E41" s="29"/>
    </row>
    <row r="42" spans="1:10" x14ac:dyDescent="0.45">
      <c r="A42" s="37">
        <v>40</v>
      </c>
      <c r="B42" s="29" t="s">
        <v>13</v>
      </c>
      <c r="C42" s="38">
        <v>43850.416666666664</v>
      </c>
      <c r="E42" s="29"/>
    </row>
    <row r="45" spans="1:10" x14ac:dyDescent="0.45">
      <c r="A45" s="37" t="s">
        <v>0</v>
      </c>
      <c r="B45" s="37" t="s">
        <v>14</v>
      </c>
      <c r="C45" s="37" t="s">
        <v>1</v>
      </c>
      <c r="D45" s="37" t="s">
        <v>15</v>
      </c>
      <c r="E45" s="29" t="s">
        <v>16</v>
      </c>
      <c r="F45" s="40" t="s">
        <v>18</v>
      </c>
      <c r="G45" s="40" t="s">
        <v>19</v>
      </c>
      <c r="H45" s="40" t="s">
        <v>8</v>
      </c>
      <c r="I45" s="40" t="s">
        <v>9</v>
      </c>
      <c r="J45" s="40" t="s">
        <v>21</v>
      </c>
    </row>
    <row r="46" spans="1:10" x14ac:dyDescent="0.45">
      <c r="A46" s="37">
        <v>1</v>
      </c>
      <c r="B46" s="29" t="s">
        <v>2</v>
      </c>
      <c r="C46" s="38">
        <v>43831.041666666664</v>
      </c>
      <c r="D46" s="37">
        <v>100</v>
      </c>
      <c r="E46" s="29" t="s">
        <v>28</v>
      </c>
      <c r="F46" s="40"/>
      <c r="G46" s="40">
        <v>1</v>
      </c>
      <c r="H46" s="40"/>
      <c r="I46" s="41"/>
      <c r="J46" s="40"/>
    </row>
    <row r="47" spans="1:10" x14ac:dyDescent="0.45">
      <c r="A47" s="37">
        <v>8</v>
      </c>
      <c r="B47" s="29" t="s">
        <v>2</v>
      </c>
      <c r="C47" s="38">
        <v>43831.333332870374</v>
      </c>
      <c r="D47" s="37">
        <v>0</v>
      </c>
      <c r="E47" s="29" t="s">
        <v>28</v>
      </c>
      <c r="F47" s="40">
        <v>1</v>
      </c>
      <c r="G47" s="40"/>
      <c r="H47" s="40">
        <f>ROUND((C47-C46)*24*60,0)</f>
        <v>420</v>
      </c>
      <c r="I47" s="40"/>
      <c r="J47" s="40">
        <v>100</v>
      </c>
    </row>
    <row r="48" spans="1:10" x14ac:dyDescent="0.45">
      <c r="A48" s="37">
        <v>9</v>
      </c>
      <c r="B48" s="29" t="s">
        <v>2</v>
      </c>
      <c r="C48" s="38">
        <v>43831.374999479165</v>
      </c>
      <c r="D48" s="37">
        <v>98</v>
      </c>
      <c r="E48" s="29" t="s">
        <v>29</v>
      </c>
      <c r="F48" s="40"/>
      <c r="G48" s="40">
        <v>1</v>
      </c>
      <c r="H48" s="40"/>
      <c r="I48" s="40">
        <v>60</v>
      </c>
      <c r="J48" s="40"/>
    </row>
    <row r="49" spans="1:10" x14ac:dyDescent="0.45">
      <c r="A49" s="37">
        <v>13</v>
      </c>
      <c r="B49" s="29" t="s">
        <v>2</v>
      </c>
      <c r="C49" s="38">
        <v>43831.541665914352</v>
      </c>
      <c r="D49" s="37">
        <v>80</v>
      </c>
      <c r="E49" s="29" t="s">
        <v>29</v>
      </c>
      <c r="F49" s="40">
        <v>1</v>
      </c>
      <c r="G49" s="40"/>
      <c r="H49" s="40">
        <f>ROUND((C49-C48)*24*60,0)</f>
        <v>240</v>
      </c>
      <c r="I49" s="40"/>
      <c r="J49" s="40">
        <v>98</v>
      </c>
    </row>
    <row r="50" spans="1:10" x14ac:dyDescent="0.45">
      <c r="A50" s="37">
        <v>15</v>
      </c>
      <c r="B50" s="29" t="s">
        <v>2</v>
      </c>
      <c r="C50" s="38">
        <v>43831.624999131942</v>
      </c>
      <c r="D50" s="37">
        <v>100</v>
      </c>
      <c r="E50" s="29" t="s">
        <v>30</v>
      </c>
      <c r="F50" s="40"/>
      <c r="G50" s="40">
        <v>1</v>
      </c>
      <c r="H50" s="40"/>
      <c r="I50" s="40">
        <v>120</v>
      </c>
      <c r="J50" s="40"/>
    </row>
    <row r="51" spans="1:10" x14ac:dyDescent="0.45">
      <c r="A51" s="37">
        <v>19</v>
      </c>
      <c r="B51" s="29" t="s">
        <v>2</v>
      </c>
      <c r="C51" s="38">
        <v>43831.791665567129</v>
      </c>
      <c r="D51" s="37">
        <v>98</v>
      </c>
      <c r="E51" s="29" t="s">
        <v>30</v>
      </c>
      <c r="F51" s="40">
        <v>1</v>
      </c>
      <c r="G51" s="40"/>
      <c r="H51" s="40">
        <f>ROUND((C51-C50)*24*60,0)</f>
        <v>240</v>
      </c>
      <c r="I51" s="40"/>
      <c r="J51" s="40">
        <v>100</v>
      </c>
    </row>
    <row r="52" spans="1:10" x14ac:dyDescent="0.45">
      <c r="A52" s="37">
        <v>22</v>
      </c>
      <c r="B52" s="29" t="s">
        <v>3</v>
      </c>
      <c r="C52" s="38">
        <v>43840.041666666664</v>
      </c>
      <c r="D52" s="37">
        <v>100</v>
      </c>
      <c r="E52" s="29" t="s">
        <v>30</v>
      </c>
      <c r="F52" s="40"/>
      <c r="G52" s="40">
        <v>1</v>
      </c>
      <c r="H52" s="40"/>
      <c r="I52" s="40">
        <v>60</v>
      </c>
      <c r="J52" s="42"/>
    </row>
    <row r="53" spans="1:10" x14ac:dyDescent="0.45">
      <c r="A53" s="37">
        <v>30</v>
      </c>
      <c r="B53" s="29" t="s">
        <v>3</v>
      </c>
      <c r="C53" s="38">
        <v>43840.374999479165</v>
      </c>
      <c r="D53" s="37">
        <v>60</v>
      </c>
      <c r="E53" s="29" t="s">
        <v>30</v>
      </c>
      <c r="F53" s="40">
        <v>1</v>
      </c>
      <c r="G53" s="40"/>
      <c r="H53" s="40">
        <f>ROUND((C53-C52)*24*60,0)</f>
        <v>480</v>
      </c>
      <c r="I53" s="40"/>
      <c r="J53" s="40">
        <v>100</v>
      </c>
    </row>
    <row r="54" spans="1:10" x14ac:dyDescent="0.45">
      <c r="A54" s="37">
        <v>31</v>
      </c>
      <c r="B54" s="29" t="s">
        <v>12</v>
      </c>
      <c r="C54" s="38">
        <v>43850.041666666664</v>
      </c>
      <c r="D54" s="37">
        <v>99</v>
      </c>
      <c r="E54" s="29" t="s">
        <v>30</v>
      </c>
      <c r="F54" s="43"/>
      <c r="G54" s="40">
        <v>1</v>
      </c>
      <c r="H54" s="40"/>
      <c r="I54" s="40"/>
      <c r="J54" s="40"/>
    </row>
    <row r="55" spans="1:10" x14ac:dyDescent="0.45">
      <c r="A55" s="37">
        <v>33</v>
      </c>
      <c r="B55" s="29" t="s">
        <v>12</v>
      </c>
      <c r="C55" s="38">
        <v>43850.125</v>
      </c>
      <c r="D55" s="37">
        <v>98</v>
      </c>
      <c r="E55" s="29" t="s">
        <v>30</v>
      </c>
      <c r="F55" s="40">
        <v>1</v>
      </c>
      <c r="G55" s="43"/>
      <c r="H55" s="40">
        <v>120</v>
      </c>
      <c r="I55" s="40"/>
      <c r="J55" s="40">
        <v>99</v>
      </c>
    </row>
    <row r="56" spans="1:10" x14ac:dyDescent="0.45">
      <c r="A56" s="37">
        <v>34</v>
      </c>
      <c r="B56" s="29" t="s">
        <v>12</v>
      </c>
      <c r="C56" s="38">
        <v>43850.166666666664</v>
      </c>
      <c r="D56" s="37">
        <v>98</v>
      </c>
      <c r="E56" s="29" t="s">
        <v>31</v>
      </c>
      <c r="F56" s="40">
        <v>1</v>
      </c>
      <c r="G56" s="40">
        <v>1</v>
      </c>
      <c r="H56" s="44" t="s">
        <v>17</v>
      </c>
      <c r="I56" s="40">
        <v>60</v>
      </c>
      <c r="J56" s="40">
        <v>98</v>
      </c>
    </row>
    <row r="57" spans="1:10" x14ac:dyDescent="0.45">
      <c r="A57" s="37">
        <v>35</v>
      </c>
      <c r="B57" s="29" t="s">
        <v>12</v>
      </c>
      <c r="C57" s="38">
        <v>43850.208333333336</v>
      </c>
      <c r="D57" s="37">
        <v>100</v>
      </c>
      <c r="E57" s="29" t="s">
        <v>32</v>
      </c>
      <c r="F57" s="43"/>
      <c r="G57" s="40">
        <v>1</v>
      </c>
      <c r="H57" s="40"/>
      <c r="I57" s="40">
        <v>60</v>
      </c>
      <c r="J57" s="40"/>
    </row>
    <row r="58" spans="1:10" x14ac:dyDescent="0.45">
      <c r="A58" s="37">
        <v>37</v>
      </c>
      <c r="B58" s="29" t="s">
        <v>12</v>
      </c>
      <c r="C58" s="38">
        <v>43850.291666666664</v>
      </c>
      <c r="D58" s="37">
        <v>70</v>
      </c>
      <c r="E58" s="29" t="s">
        <v>32</v>
      </c>
      <c r="F58" s="40">
        <v>1</v>
      </c>
      <c r="G58" s="43"/>
      <c r="H58" s="40">
        <v>120</v>
      </c>
      <c r="I58" s="40"/>
      <c r="J58" s="40">
        <v>100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75794ED6F4064598B9DFB7620833F8" ma:contentTypeVersion="9" ma:contentTypeDescription="Create a new document." ma:contentTypeScope="" ma:versionID="b468892a7e24248341a4dd11a29623d9">
  <xsd:schema xmlns:xsd="http://www.w3.org/2001/XMLSchema" xmlns:xs="http://www.w3.org/2001/XMLSchema" xmlns:p="http://schemas.microsoft.com/office/2006/metadata/properties" xmlns:ns3="c3417539-0217-41e6-b0ea-b4ce924d5875" targetNamespace="http://schemas.microsoft.com/office/2006/metadata/properties" ma:root="true" ma:fieldsID="d68ca05163df2852e99f8b03c43c715f" ns3:_="">
    <xsd:import namespace="c3417539-0217-41e6-b0ea-b4ce924d587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417539-0217-41e6-b0ea-b4ce924d58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5B714E-C10B-45EC-9445-B69BC6EAB9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417539-0217-41e6-b0ea-b4ce924d58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ED9B1B-DEC1-4C94-8B5B-5F8DA1DEE0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B6CC15-2BA5-4046-A3F9-BB57A4037F7D}">
  <ds:schemaRefs>
    <ds:schemaRef ds:uri="http://purl.org/dc/elements/1.1/"/>
    <ds:schemaRef ds:uri="http://schemas.microsoft.com/office/2006/metadata/properties"/>
    <ds:schemaRef ds:uri="c3417539-0217-41e6-b0ea-b4ce924d5875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Working</vt:lpstr>
      <vt:lpstr>Clean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j.d.landgrebe</dc:creator>
  <cp:lastModifiedBy>j.d.landgrebe</cp:lastModifiedBy>
  <dcterms:created xsi:type="dcterms:W3CDTF">2020-05-27T19:32:33Z</dcterms:created>
  <dcterms:modified xsi:type="dcterms:W3CDTF">2020-05-29T20:09:48Z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0x0101004F75794ED6F4064598B9DFB7620833F8</vt:lpwstr>
  </property>
</Properties>
</file>